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delacosta.sharepoint.com/sites/20261_19528/Documentos compartidos/General/"/>
    </mc:Choice>
  </mc:AlternateContent>
  <xr:revisionPtr revIDLastSave="1" documentId="13_ncr:1_{409DFB0F-BB3C-4748-9E2B-CA2B03277BDA}" xr6:coauthVersionLast="47" xr6:coauthVersionMax="47" xr10:uidLastSave="{1B263551-2C0F-4E29-BA4A-E928C397A4A5}"/>
  <bookViews>
    <workbookView xWindow="-108" yWindow="-108" windowWidth="23256" windowHeight="12456" firstSheet="3" activeTab="3" xr2:uid="{518D6D7A-2D15-46D3-B9F7-C3C4E2D3F3EA}"/>
  </bookViews>
  <sheets>
    <sheet name="ANTEPROYECTO" sheetId="8" r:id="rId1"/>
    <sheet name="PRESUPUESTO" sheetId="1" r:id="rId2"/>
    <sheet name="AIU" sheetId="7" r:id="rId3"/>
    <sheet name="APU" sheetId="2" r:id="rId4"/>
    <sheet name="MATERIALES" sheetId="3" r:id="rId5"/>
    <sheet name="EQUIPOS" sheetId="4" r:id="rId6"/>
    <sheet name="TRANSPORTE" sheetId="5" r:id="rId7"/>
    <sheet name="MANO DE OBRA" sheetId="6" r:id="rId8"/>
  </sheets>
  <externalReferences>
    <externalReference r:id="rId9"/>
  </externalReferences>
  <calcPr calcId="191028" iterateDelta="1E-4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7" l="1"/>
  <c r="C35" i="1"/>
  <c r="E13" i="8"/>
  <c r="H14" i="7"/>
  <c r="H16" i="7" s="1"/>
  <c r="H8" i="7"/>
  <c r="H9" i="7"/>
  <c r="H10" i="7"/>
  <c r="H11" i="7"/>
  <c r="H7" i="7"/>
  <c r="H12" i="7" l="1"/>
  <c r="H17" i="7" l="1"/>
  <c r="H977" i="2" l="1"/>
  <c r="H971" i="2"/>
  <c r="H970" i="2"/>
  <c r="H831" i="2"/>
  <c r="H825" i="2"/>
  <c r="H824" i="2"/>
  <c r="H694" i="2"/>
  <c r="H646" i="2"/>
  <c r="H613" i="2"/>
  <c r="H410" i="2"/>
  <c r="H346" i="2"/>
  <c r="H274" i="2"/>
  <c r="H322" i="2"/>
  <c r="H266" i="2" l="1"/>
  <c r="H251" i="2"/>
  <c r="H250" i="2"/>
  <c r="H226" i="2"/>
  <c r="H203" i="2"/>
  <c r="H218" i="2"/>
  <c r="H202" i="2"/>
  <c r="H170" i="2"/>
  <c r="H154" i="2"/>
  <c r="H131" i="2" l="1"/>
  <c r="H132" i="2"/>
  <c r="H130" i="2"/>
  <c r="H124" i="2"/>
  <c r="H122" i="2"/>
  <c r="H106" i="2"/>
  <c r="H82" i="2"/>
  <c r="H74" i="2"/>
  <c r="H19" i="2"/>
  <c r="H41" i="2"/>
  <c r="D30" i="1"/>
  <c r="H1100" i="2"/>
  <c r="H1099" i="2"/>
  <c r="H1098" i="2"/>
  <c r="H1097" i="2"/>
  <c r="H1092" i="2"/>
  <c r="H1091" i="2"/>
  <c r="H1090" i="2"/>
  <c r="H1085" i="2"/>
  <c r="H1084" i="2"/>
  <c r="H1083" i="2"/>
  <c r="H1082" i="2"/>
  <c r="H1077" i="2"/>
  <c r="H1076" i="2"/>
  <c r="H1078" i="2" s="1"/>
  <c r="H1071" i="2"/>
  <c r="H1070" i="2"/>
  <c r="H1069" i="2"/>
  <c r="H1031" i="2"/>
  <c r="H1055" i="2"/>
  <c r="H1054" i="2"/>
  <c r="H1053" i="2"/>
  <c r="H1052" i="2"/>
  <c r="H1047" i="2"/>
  <c r="H1046" i="2"/>
  <c r="H1045" i="2"/>
  <c r="H1040" i="2"/>
  <c r="H1039" i="2"/>
  <c r="H1038" i="2"/>
  <c r="H1037" i="2"/>
  <c r="H1032" i="2"/>
  <c r="H1030" i="2"/>
  <c r="H1029" i="2"/>
  <c r="H1028" i="2"/>
  <c r="H1027" i="2"/>
  <c r="H1026" i="2"/>
  <c r="H1021" i="2"/>
  <c r="H1020" i="2"/>
  <c r="H1019" i="2"/>
  <c r="D28" i="1"/>
  <c r="H981" i="2"/>
  <c r="H980" i="2"/>
  <c r="H1005" i="2"/>
  <c r="H1004" i="2"/>
  <c r="H1003" i="2"/>
  <c r="H1002" i="2"/>
  <c r="H997" i="2"/>
  <c r="H996" i="2"/>
  <c r="H995" i="2"/>
  <c r="H990" i="2"/>
  <c r="H989" i="2"/>
  <c r="H988" i="2"/>
  <c r="H987" i="2"/>
  <c r="H982" i="2"/>
  <c r="H979" i="2"/>
  <c r="H978" i="2"/>
  <c r="H972" i="2"/>
  <c r="D27" i="1"/>
  <c r="H956" i="2"/>
  <c r="H955" i="2"/>
  <c r="H954" i="2"/>
  <c r="H953" i="2"/>
  <c r="H948" i="2"/>
  <c r="H947" i="2"/>
  <c r="H946" i="2"/>
  <c r="H941" i="2"/>
  <c r="H940" i="2"/>
  <c r="H939" i="2"/>
  <c r="H938" i="2"/>
  <c r="H933" i="2"/>
  <c r="H932" i="2"/>
  <c r="H931" i="2"/>
  <c r="H930" i="2"/>
  <c r="H925" i="2"/>
  <c r="H924" i="2"/>
  <c r="H923" i="2"/>
  <c r="D26" i="1"/>
  <c r="H909" i="2"/>
  <c r="H908" i="2"/>
  <c r="H907" i="2"/>
  <c r="H906" i="2"/>
  <c r="H901" i="2"/>
  <c r="H900" i="2"/>
  <c r="H899" i="2"/>
  <c r="H894" i="2"/>
  <c r="H893" i="2"/>
  <c r="H892" i="2"/>
  <c r="H891" i="2"/>
  <c r="H886" i="2"/>
  <c r="H885" i="2"/>
  <c r="H884" i="2"/>
  <c r="H883" i="2"/>
  <c r="H882" i="2"/>
  <c r="H881" i="2"/>
  <c r="H876" i="2"/>
  <c r="H875" i="2"/>
  <c r="H874" i="2"/>
  <c r="D25" i="1"/>
  <c r="D24" i="1"/>
  <c r="H860" i="2"/>
  <c r="H859" i="2"/>
  <c r="H858" i="2"/>
  <c r="H857" i="2"/>
  <c r="H852" i="2"/>
  <c r="H851" i="2"/>
  <c r="H850" i="2"/>
  <c r="H845" i="2"/>
  <c r="H844" i="2"/>
  <c r="H843" i="2"/>
  <c r="H842" i="2"/>
  <c r="H837" i="2"/>
  <c r="H836" i="2"/>
  <c r="H835" i="2"/>
  <c r="H834" i="2"/>
  <c r="H833" i="2"/>
  <c r="H832" i="2"/>
  <c r="H826" i="2"/>
  <c r="H786" i="2"/>
  <c r="H785" i="2"/>
  <c r="H810" i="2"/>
  <c r="H809" i="2"/>
  <c r="H808" i="2"/>
  <c r="H807" i="2"/>
  <c r="H802" i="2"/>
  <c r="H801" i="2"/>
  <c r="H800" i="2"/>
  <c r="H795" i="2"/>
  <c r="H794" i="2"/>
  <c r="H793" i="2"/>
  <c r="H792" i="2"/>
  <c r="H787" i="2"/>
  <c r="H784" i="2"/>
  <c r="H783" i="2"/>
  <c r="H782" i="2"/>
  <c r="H781" i="2"/>
  <c r="H776" i="2"/>
  <c r="H775" i="2"/>
  <c r="H774" i="2"/>
  <c r="D23" i="1"/>
  <c r="H760" i="2"/>
  <c r="H759" i="2"/>
  <c r="H758" i="2"/>
  <c r="H757" i="2"/>
  <c r="H752" i="2"/>
  <c r="H751" i="2"/>
  <c r="H750" i="2"/>
  <c r="H745" i="2"/>
  <c r="H744" i="2"/>
  <c r="H743" i="2"/>
  <c r="H742" i="2"/>
  <c r="H737" i="2"/>
  <c r="H736" i="2"/>
  <c r="H735" i="2"/>
  <c r="H734" i="2"/>
  <c r="H733" i="2"/>
  <c r="H728" i="2"/>
  <c r="H727" i="2"/>
  <c r="H726" i="2"/>
  <c r="H712" i="2"/>
  <c r="H711" i="2"/>
  <c r="H710" i="2"/>
  <c r="H709" i="2"/>
  <c r="H704" i="2"/>
  <c r="H703" i="2"/>
  <c r="H702" i="2"/>
  <c r="H697" i="2"/>
  <c r="H696" i="2"/>
  <c r="H695" i="2"/>
  <c r="H689" i="2"/>
  <c r="H688" i="2"/>
  <c r="H687" i="2"/>
  <c r="H686" i="2"/>
  <c r="H685" i="2"/>
  <c r="H680" i="2"/>
  <c r="H679" i="2"/>
  <c r="H678" i="2"/>
  <c r="D21" i="1"/>
  <c r="H639" i="2"/>
  <c r="H640" i="2"/>
  <c r="H664" i="2"/>
  <c r="H663" i="2"/>
  <c r="H662" i="2"/>
  <c r="H661" i="2"/>
  <c r="H656" i="2"/>
  <c r="H655" i="2"/>
  <c r="H654" i="2"/>
  <c r="H649" i="2"/>
  <c r="H648" i="2"/>
  <c r="H647" i="2"/>
  <c r="H641" i="2"/>
  <c r="H638" i="2"/>
  <c r="H637" i="2"/>
  <c r="H632" i="2"/>
  <c r="H631" i="2"/>
  <c r="H630" i="2"/>
  <c r="H616" i="2"/>
  <c r="H615" i="2"/>
  <c r="H614" i="2"/>
  <c r="H608" i="2"/>
  <c r="H607" i="2"/>
  <c r="H606" i="2"/>
  <c r="H601" i="2"/>
  <c r="H600" i="2"/>
  <c r="H599" i="2"/>
  <c r="H598" i="2"/>
  <c r="H593" i="2"/>
  <c r="H592" i="2"/>
  <c r="H591" i="2"/>
  <c r="H586" i="2"/>
  <c r="H585" i="2"/>
  <c r="H584" i="2"/>
  <c r="D18" i="1"/>
  <c r="H570" i="2"/>
  <c r="H569" i="2"/>
  <c r="H568" i="2"/>
  <c r="H567" i="2"/>
  <c r="H562" i="2"/>
  <c r="H561" i="2"/>
  <c r="H560" i="2"/>
  <c r="H555" i="2"/>
  <c r="H554" i="2"/>
  <c r="H553" i="2"/>
  <c r="H552" i="2"/>
  <c r="H547" i="2"/>
  <c r="H546" i="2"/>
  <c r="H545" i="2"/>
  <c r="H540" i="2"/>
  <c r="H539" i="2"/>
  <c r="H538" i="2"/>
  <c r="H524" i="2"/>
  <c r="H523" i="2"/>
  <c r="H522" i="2"/>
  <c r="H521" i="2"/>
  <c r="H516" i="2"/>
  <c r="H515" i="2"/>
  <c r="H514" i="2"/>
  <c r="H509" i="2"/>
  <c r="H508" i="2"/>
  <c r="H507" i="2"/>
  <c r="H506" i="2"/>
  <c r="H501" i="2"/>
  <c r="H500" i="2"/>
  <c r="H499" i="2"/>
  <c r="H498" i="2"/>
  <c r="H497" i="2"/>
  <c r="H492" i="2"/>
  <c r="H491" i="2"/>
  <c r="H490" i="2"/>
  <c r="D16" i="1"/>
  <c r="H450" i="2"/>
  <c r="H451" i="2"/>
  <c r="H452" i="2"/>
  <c r="H453" i="2"/>
  <c r="H476" i="2"/>
  <c r="H475" i="2"/>
  <c r="H474" i="2"/>
  <c r="H473" i="2"/>
  <c r="H468" i="2"/>
  <c r="H467" i="2"/>
  <c r="H466" i="2"/>
  <c r="H461" i="2"/>
  <c r="H460" i="2"/>
  <c r="H459" i="2"/>
  <c r="H458" i="2"/>
  <c r="H444" i="2"/>
  <c r="H443" i="2"/>
  <c r="H442" i="2"/>
  <c r="H425" i="2"/>
  <c r="H428" i="2"/>
  <c r="H427" i="2"/>
  <c r="H426" i="2"/>
  <c r="H420" i="2"/>
  <c r="H419" i="2"/>
  <c r="H418" i="2"/>
  <c r="H413" i="2"/>
  <c r="H412" i="2"/>
  <c r="H411" i="2"/>
  <c r="H405" i="2"/>
  <c r="H404" i="2"/>
  <c r="H403" i="2"/>
  <c r="H402" i="2"/>
  <c r="H401" i="2"/>
  <c r="H396" i="2"/>
  <c r="H395" i="2"/>
  <c r="H394" i="2"/>
  <c r="H380" i="2"/>
  <c r="H379" i="2"/>
  <c r="H378" i="2"/>
  <c r="H377" i="2"/>
  <c r="H372" i="2"/>
  <c r="H371" i="2"/>
  <c r="H370" i="2"/>
  <c r="H365" i="2"/>
  <c r="H364" i="2"/>
  <c r="H363" i="2"/>
  <c r="H362" i="2"/>
  <c r="H357" i="2"/>
  <c r="H356" i="2"/>
  <c r="H355" i="2"/>
  <c r="H354" i="2"/>
  <c r="H353" i="2"/>
  <c r="H348" i="2"/>
  <c r="H347" i="2"/>
  <c r="H316" i="2"/>
  <c r="H314" i="2"/>
  <c r="H298" i="2"/>
  <c r="H299" i="2"/>
  <c r="H332" i="2"/>
  <c r="H331" i="2"/>
  <c r="H330" i="2"/>
  <c r="H329" i="2"/>
  <c r="H324" i="2"/>
  <c r="H323" i="2"/>
  <c r="H317" i="2"/>
  <c r="H315" i="2"/>
  <c r="H309" i="2"/>
  <c r="H308" i="2"/>
  <c r="H307" i="2"/>
  <c r="H306" i="2"/>
  <c r="H305" i="2"/>
  <c r="H300" i="2"/>
  <c r="H983" i="2" l="1"/>
  <c r="H1033" i="2"/>
  <c r="H1101" i="2"/>
  <c r="H1093" i="2"/>
  <c r="H1086" i="2"/>
  <c r="H1072" i="2"/>
  <c r="H1048" i="2"/>
  <c r="H1006" i="2"/>
  <c r="H1041" i="2"/>
  <c r="H1022" i="2"/>
  <c r="H1056" i="2"/>
  <c r="H998" i="2"/>
  <c r="H991" i="2"/>
  <c r="H973" i="2"/>
  <c r="H934" i="2"/>
  <c r="H861" i="2"/>
  <c r="H949" i="2"/>
  <c r="H926" i="2"/>
  <c r="H827" i="2"/>
  <c r="H788" i="2"/>
  <c r="H846" i="2"/>
  <c r="H942" i="2"/>
  <c r="H957" i="2"/>
  <c r="H910" i="2"/>
  <c r="H887" i="2"/>
  <c r="H853" i="2"/>
  <c r="H902" i="2"/>
  <c r="H895" i="2"/>
  <c r="H877" i="2"/>
  <c r="H838" i="2"/>
  <c r="H803" i="2"/>
  <c r="H811" i="2"/>
  <c r="H713" i="2"/>
  <c r="H796" i="2"/>
  <c r="H681" i="2"/>
  <c r="H698" i="2"/>
  <c r="H777" i="2"/>
  <c r="H753" i="2"/>
  <c r="H761" i="2"/>
  <c r="H746" i="2"/>
  <c r="H705" i="2"/>
  <c r="H729" i="2"/>
  <c r="H738" i="2"/>
  <c r="H690" i="2"/>
  <c r="H657" i="2"/>
  <c r="H642" i="2"/>
  <c r="H665" i="2"/>
  <c r="H525" i="2"/>
  <c r="H617" i="2"/>
  <c r="H602" i="2"/>
  <c r="H406" i="2"/>
  <c r="H381" i="2"/>
  <c r="H421" i="2"/>
  <c r="H349" i="2"/>
  <c r="H366" i="2"/>
  <c r="H477" i="2"/>
  <c r="H633" i="2"/>
  <c r="H469" i="2"/>
  <c r="H587" i="2"/>
  <c r="H650" i="2"/>
  <c r="H571" i="2"/>
  <c r="H397" i="2"/>
  <c r="H301" i="2"/>
  <c r="H373" i="2"/>
  <c r="H609" i="2"/>
  <c r="H594" i="2"/>
  <c r="H548" i="2"/>
  <c r="H493" i="2"/>
  <c r="H510" i="2"/>
  <c r="H358" i="2"/>
  <c r="H462" i="2"/>
  <c r="H563" i="2"/>
  <c r="H414" i="2"/>
  <c r="H325" i="2"/>
  <c r="H517" i="2"/>
  <c r="H333" i="2"/>
  <c r="H429" i="2"/>
  <c r="H556" i="2"/>
  <c r="H541" i="2"/>
  <c r="H502" i="2"/>
  <c r="H445" i="2"/>
  <c r="H318" i="2"/>
  <c r="H310" i="2"/>
  <c r="H1059" i="2" l="1"/>
  <c r="E29" i="1" s="1"/>
  <c r="F29" i="1" s="1"/>
  <c r="H1009" i="2"/>
  <c r="E28" i="1" s="1"/>
  <c r="F28" i="1" s="1"/>
  <c r="H1104" i="2"/>
  <c r="E30" i="1" s="1"/>
  <c r="F30" i="1" s="1"/>
  <c r="H960" i="2"/>
  <c r="E27" i="1" s="1"/>
  <c r="F27" i="1" s="1"/>
  <c r="H864" i="2"/>
  <c r="E25" i="1" s="1"/>
  <c r="F25" i="1" s="1"/>
  <c r="H913" i="2"/>
  <c r="E26" i="1" s="1"/>
  <c r="F26" i="1" s="1"/>
  <c r="H764" i="2"/>
  <c r="E23" i="1" s="1"/>
  <c r="F23" i="1" s="1"/>
  <c r="H716" i="2"/>
  <c r="E22" i="1" s="1"/>
  <c r="F22" i="1" s="1"/>
  <c r="H814" i="2"/>
  <c r="E24" i="1" s="1"/>
  <c r="F24" i="1" s="1"/>
  <c r="H384" i="2"/>
  <c r="E13" i="1" s="1"/>
  <c r="F13" i="1" s="1"/>
  <c r="H668" i="2"/>
  <c r="E21" i="1" s="1"/>
  <c r="F21" i="1" s="1"/>
  <c r="H528" i="2"/>
  <c r="E17" i="1" s="1"/>
  <c r="F17" i="1" s="1"/>
  <c r="H432" i="2"/>
  <c r="E15" i="1" s="1"/>
  <c r="F15" i="1" s="1"/>
  <c r="H574" i="2"/>
  <c r="E18" i="1" s="1"/>
  <c r="F18" i="1" s="1"/>
  <c r="H620" i="2"/>
  <c r="E19" i="1" s="1"/>
  <c r="F19" i="1" s="1"/>
  <c r="H336" i="2"/>
  <c r="E12" i="1" l="1"/>
  <c r="F12" i="1" s="1"/>
  <c r="G11" i="1" s="1"/>
  <c r="G20" i="1"/>
  <c r="H26" i="2" l="1"/>
  <c r="H58" i="2" l="1"/>
  <c r="H17" i="2"/>
  <c r="E5" i="6"/>
  <c r="F5" i="6" s="1"/>
  <c r="G5" i="6" s="1"/>
  <c r="E6" i="6"/>
  <c r="F6" i="6" s="1"/>
  <c r="G6" i="6" s="1"/>
  <c r="E4" i="6"/>
  <c r="F4" i="6" s="1"/>
  <c r="G4" i="6" s="1"/>
  <c r="H284" i="2"/>
  <c r="H283" i="2"/>
  <c r="H282" i="2"/>
  <c r="H281" i="2"/>
  <c r="H276" i="2"/>
  <c r="H275" i="2"/>
  <c r="H269" i="2"/>
  <c r="H267" i="2"/>
  <c r="H261" i="2"/>
  <c r="H260" i="2"/>
  <c r="H259" i="2"/>
  <c r="H258" i="2"/>
  <c r="H257" i="2"/>
  <c r="H252" i="2"/>
  <c r="H178" i="2"/>
  <c r="H157" i="2"/>
  <c r="H236" i="2"/>
  <c r="H235" i="2"/>
  <c r="H234" i="2"/>
  <c r="H233" i="2"/>
  <c r="H228" i="2"/>
  <c r="H227" i="2"/>
  <c r="H221" i="2"/>
  <c r="H219" i="2"/>
  <c r="H213" i="2"/>
  <c r="H212" i="2"/>
  <c r="H211" i="2"/>
  <c r="H210" i="2"/>
  <c r="H209" i="2"/>
  <c r="H204" i="2"/>
  <c r="H188" i="2"/>
  <c r="H187" i="2"/>
  <c r="H186" i="2"/>
  <c r="H185" i="2"/>
  <c r="H180" i="2"/>
  <c r="H179" i="2"/>
  <c r="H173" i="2"/>
  <c r="H171" i="2"/>
  <c r="H165" i="2"/>
  <c r="H164" i="2"/>
  <c r="H163" i="2"/>
  <c r="H162" i="2"/>
  <c r="H161" i="2"/>
  <c r="H140" i="2"/>
  <c r="H139" i="2"/>
  <c r="H138" i="2"/>
  <c r="H137" i="2"/>
  <c r="H125" i="2"/>
  <c r="H123" i="2"/>
  <c r="H117" i="2"/>
  <c r="H116" i="2"/>
  <c r="H115" i="2"/>
  <c r="H114" i="2"/>
  <c r="H113" i="2"/>
  <c r="H108" i="2"/>
  <c r="D6" i="1"/>
  <c r="H89" i="2"/>
  <c r="H92" i="2"/>
  <c r="H91" i="2"/>
  <c r="H90" i="2"/>
  <c r="H84" i="2"/>
  <c r="H83" i="2"/>
  <c r="H77" i="2"/>
  <c r="H75" i="2"/>
  <c r="H69" i="2"/>
  <c r="H68" i="2"/>
  <c r="H67" i="2"/>
  <c r="H66" i="2"/>
  <c r="H65" i="2"/>
  <c r="H60" i="2"/>
  <c r="H20" i="2"/>
  <c r="H18" i="2"/>
  <c r="H21" i="2"/>
  <c r="H44" i="2"/>
  <c r="H43" i="2"/>
  <c r="H42" i="2"/>
  <c r="H36" i="2"/>
  <c r="H35" i="2"/>
  <c r="H34" i="2"/>
  <c r="H29" i="2"/>
  <c r="H27" i="2"/>
  <c r="H12" i="2"/>
  <c r="H11" i="2"/>
  <c r="H10" i="2"/>
  <c r="H22" i="2" l="1"/>
  <c r="H222" i="2"/>
  <c r="H45" i="2"/>
  <c r="H13" i="2"/>
  <c r="H109" i="2"/>
  <c r="H285" i="2"/>
  <c r="H78" i="2"/>
  <c r="H253" i="2"/>
  <c r="H270" i="2"/>
  <c r="H277" i="2"/>
  <c r="H229" i="2"/>
  <c r="H61" i="2"/>
  <c r="H37" i="2"/>
  <c r="H118" i="2"/>
  <c r="H214" i="2"/>
  <c r="H174" i="2"/>
  <c r="H262" i="2"/>
  <c r="H205" i="2"/>
  <c r="H126" i="2"/>
  <c r="H133" i="2"/>
  <c r="H30" i="2"/>
  <c r="H93" i="2"/>
  <c r="H70" i="2"/>
  <c r="H189" i="2"/>
  <c r="H141" i="2"/>
  <c r="H237" i="2"/>
  <c r="H181" i="2"/>
  <c r="H166" i="2"/>
  <c r="H85" i="2"/>
  <c r="H240" i="2" l="1"/>
  <c r="E10" i="1" s="1"/>
  <c r="F10" i="1" s="1"/>
  <c r="G9" i="1" s="1"/>
  <c r="E6" i="1"/>
  <c r="F6" i="1" s="1"/>
  <c r="H96" i="2"/>
  <c r="H144" i="2"/>
  <c r="H288" i="2"/>
  <c r="E7" i="1"/>
  <c r="F7" i="1" s="1"/>
  <c r="H192" i="2"/>
  <c r="E8" i="1" s="1"/>
  <c r="F8" i="1" s="1"/>
  <c r="G5" i="1" l="1"/>
  <c r="H449" i="2"/>
  <c r="H454" i="2" l="1"/>
  <c r="H480" i="2" s="1"/>
  <c r="E16" i="1" s="1"/>
  <c r="F16" i="1" s="1"/>
  <c r="G14" i="1" s="1"/>
  <c r="G31" i="1" s="1"/>
  <c r="C3" i="7" s="1"/>
  <c r="D6" i="7" l="1"/>
  <c r="H20" i="7"/>
  <c r="H23" i="7"/>
  <c r="H26" i="7" s="1"/>
  <c r="F32" i="1"/>
  <c r="G32" i="1" s="1"/>
  <c r="G33" i="1"/>
  <c r="G34" i="1"/>
  <c r="D25" i="7" l="1"/>
  <c r="C28" i="7"/>
  <c r="D19" i="7"/>
  <c r="G35" i="1"/>
  <c r="G36" i="1" s="1"/>
  <c r="G37" i="1" s="1"/>
  <c r="C34" i="1"/>
  <c r="C36" i="1" s="1"/>
  <c r="B500" i="2"/>
  <c r="E500" i="2"/>
  <c r="E545" i="2"/>
  <c r="B545" i="2"/>
  <c r="E449" i="2"/>
  <c r="B449" i="2"/>
  <c r="E453" i="2"/>
  <c r="B453" i="2"/>
  <c r="B452" i="2"/>
  <c r="E452" i="2"/>
  <c r="E501" i="2"/>
  <c r="B501" i="2"/>
  <c r="E498" i="2"/>
  <c r="B498" i="2"/>
  <c r="E497" i="2"/>
  <c r="B497" i="2"/>
  <c r="B451" i="2"/>
  <c r="E451" i="2"/>
  <c r="B547" i="2"/>
  <c r="E547" i="2"/>
  <c r="E450" i="2"/>
  <c r="B450" i="2"/>
  <c r="E499" i="2"/>
  <c r="B499" i="2"/>
</calcChain>
</file>

<file path=xl/sharedStrings.xml><?xml version="1.0" encoding="utf-8"?>
<sst xmlns="http://schemas.openxmlformats.org/spreadsheetml/2006/main" count="2454" uniqueCount="688">
  <si>
    <t xml:space="preserve">PRESUPUESTO DE ANTEPROYECTO </t>
  </si>
  <si>
    <t>DESCRIPCION</t>
  </si>
  <si>
    <t>UND</t>
  </si>
  <si>
    <t>CANTIDAD</t>
  </si>
  <si>
    <t>VALOR TOTAL</t>
  </si>
  <si>
    <t xml:space="preserve">VISITA AL LOTE </t>
  </si>
  <si>
    <t>GLB</t>
  </si>
  <si>
    <t>ANALISIS DEL ENTORNO</t>
  </si>
  <si>
    <t xml:space="preserve">FORMULACION DE PROYECTO </t>
  </si>
  <si>
    <t>ESTUDIOS GEOTECNICOS</t>
  </si>
  <si>
    <t>DISEÑO ARQUITECTONICO PROPUESTA GENERAL</t>
  </si>
  <si>
    <t>DISEÑOS ESTRUCTURALES Y NO ESTRUCTURALES</t>
  </si>
  <si>
    <t xml:space="preserve">TRAMITE DE LICENCIA </t>
  </si>
  <si>
    <t>TRAMITES DE SERVICIO PUBLICO</t>
  </si>
  <si>
    <t>VR TOTAL</t>
  </si>
  <si>
    <t xml:space="preserve">PRESUPUESTO DEL PROYECTO </t>
  </si>
  <si>
    <t>DESCRIPCIÓN</t>
  </si>
  <si>
    <t>PRECIO UNITARIO</t>
  </si>
  <si>
    <t>VALOR PARCIAL</t>
  </si>
  <si>
    <t xml:space="preserve">OBRAS PRELIMINARES </t>
  </si>
  <si>
    <t>SUMINISTRO E INSTALACION CERRAMIENTO PROVISIONAL H=2,14 M. EN POLISOMBRA VERDE</t>
  </si>
  <si>
    <t>ML</t>
  </si>
  <si>
    <t>LIMPIEZA, DESCAPOTE, RETIRO SOBRANTES - MECÁNICO   H = 0,20 mts</t>
  </si>
  <si>
    <t>M2</t>
  </si>
  <si>
    <t>LOCALIZACION Y REPLANTEO TOPOGRAFICO</t>
  </si>
  <si>
    <t xml:space="preserve">DEMOLICION </t>
  </si>
  <si>
    <t>DEMOLICION DE CONSTRUCCION EXISTENTE (INC. RETIRO DE SOBR.</t>
  </si>
  <si>
    <t>EXCAVACIONES, RELLENOS Y REEMPLAZOS</t>
  </si>
  <si>
    <t>EXCAVACION MANUAL EN MATERIAL COMUN (INCLUYE CARGUE Y RETIRO)</t>
  </si>
  <si>
    <t>M3</t>
  </si>
  <si>
    <t>RELLENO EN RECEBO COMUN (SUMINISTRO, EXTENDIDO, HUMEDECIMIENTO Y COMPACTACIÓN)</t>
  </si>
  <si>
    <t>CIMENTACION</t>
  </si>
  <si>
    <t>VACIADO DE CONCRETO DE LIMPIEZA 14 MPA (2000 PSI)</t>
  </si>
  <si>
    <t>VACIADO DE CONCRETOS PARA ZAPATAS 24MPA (3500 PSI)</t>
  </si>
  <si>
    <t>VACIADO DE CONCRETO PARA VIGAS DE CIMENTACIÓN 24MPA (3500 PSI)</t>
  </si>
  <si>
    <t>VACIADO DE PLACA CONTRAPISO DE 10 CM EN CONCRETO DE 24MPA (3500 PSI)</t>
  </si>
  <si>
    <t xml:space="preserve"> IMPERMEABILIZACIÓN CON GEOTEXTIL NT2000 DE PAVCO O SIMILAR</t>
  </si>
  <si>
    <t>ESTRUCTURA</t>
  </si>
  <si>
    <t>COLUMNAS EN CONCRETO DE 24MPA (3500 PSI)</t>
  </si>
  <si>
    <t>VIGA DE APOYO ESTRUCTURA METALICA EN CONCRETO DE 24MPA (3500 PSI)</t>
  </si>
  <si>
    <t xml:space="preserve"> MURO EN CONCRETO DE 24MPA (3500 PSI)</t>
  </si>
  <si>
    <t>LOSA ALIGERADA ENTREPISO H = 50 CM - CONCRETO 24MPA (3500 PSI)</t>
  </si>
  <si>
    <t>LOSA ALIGERADA CUBIERTA H = 45 CM - CONCRETO 24MPA (3500 PSI)</t>
  </si>
  <si>
    <t>RAMPA EN CONCRETO AÉREA DE 24MPA (3500 PSI)SEGÚN DISEÑO ESTRUCTURAL</t>
  </si>
  <si>
    <t>VIGAS AÉREAS EN CONCRETO 24MPA (3500 PSI)</t>
  </si>
  <si>
    <t>ESCALERAS EN CONCRETO 24MPA (3500 PSI)</t>
  </si>
  <si>
    <t>TANQUE PARA ALMACENAMIENTO DE AGUA EN CONCRETO IMPERMEABILIZADO DE 28 MPA (4000 PSI)</t>
  </si>
  <si>
    <t>FIGURADO DE ACERO DE 60000 PSI</t>
  </si>
  <si>
    <t>KG</t>
  </si>
  <si>
    <t>TOTAL COSTOS DIRECTOS</t>
  </si>
  <si>
    <t xml:space="preserve">ADMINISTRACION </t>
  </si>
  <si>
    <t xml:space="preserve">TOTAL GLOBAL DEL PROYECTO </t>
  </si>
  <si>
    <t xml:space="preserve">IMPREVISTOS </t>
  </si>
  <si>
    <t xml:space="preserve">COSTO TOTAL DEL PROYECTO </t>
  </si>
  <si>
    <t>UTILIDADES</t>
  </si>
  <si>
    <t xml:space="preserve">COSTO TOTAL DEL ANTEPROYECTO </t>
  </si>
  <si>
    <t>IVA</t>
  </si>
  <si>
    <t xml:space="preserve">COSTO TOTAL </t>
  </si>
  <si>
    <t>TOTAL COSTOS INDIRECTOS</t>
  </si>
  <si>
    <t>COSTO TOTAL CD+CI</t>
  </si>
  <si>
    <t>COSTOS TOTAL DIRECTOS</t>
  </si>
  <si>
    <t xml:space="preserve">DESCRIPCION </t>
  </si>
  <si>
    <t>MESES</t>
  </si>
  <si>
    <t>VALOR UNITARIO</t>
  </si>
  <si>
    <t>PRESTACIONES SOCIALES</t>
  </si>
  <si>
    <t>SUBTOTAL</t>
  </si>
  <si>
    <t>PORCENTAJE</t>
  </si>
  <si>
    <t>DIRECTOR DE OBRA</t>
  </si>
  <si>
    <t xml:space="preserve">MES </t>
  </si>
  <si>
    <t>RESIDENTE</t>
  </si>
  <si>
    <t>MAESTRO DE OBRA</t>
  </si>
  <si>
    <t>SST</t>
  </si>
  <si>
    <t>VIGILANTE</t>
  </si>
  <si>
    <t>MANTENIMIENTO DE OFICINA</t>
  </si>
  <si>
    <t>-</t>
  </si>
  <si>
    <t xml:space="preserve">COMITÉ DE OBRAS </t>
  </si>
  <si>
    <t xml:space="preserve">VR TOTAL ADMINISTRACION </t>
  </si>
  <si>
    <t xml:space="preserve">ESTUDIO DE RIESGO </t>
  </si>
  <si>
    <t>MES</t>
  </si>
  <si>
    <t>COSTO TOTAL INDIRECTOS</t>
  </si>
  <si>
    <t xml:space="preserve">ANALISIS DE PRECIO UNITARIO </t>
  </si>
  <si>
    <t>CAPITULO</t>
  </si>
  <si>
    <t xml:space="preserve">SUMINISTRO E INSTALACION DE CERRAMIENTO PROVISIONAL H:2,14 M EN POLISOMBRA VERDE </t>
  </si>
  <si>
    <t>ITEM</t>
  </si>
  <si>
    <t>UNIDAD</t>
  </si>
  <si>
    <t xml:space="preserve">CANTIDAD </t>
  </si>
  <si>
    <t>I- EQUIPOS</t>
  </si>
  <si>
    <t>CANT/RENDI</t>
  </si>
  <si>
    <t>SUBTOTAL EQUIPOS</t>
  </si>
  <si>
    <t>II- MATERIALES</t>
  </si>
  <si>
    <t xml:space="preserve">UNIDAD </t>
  </si>
  <si>
    <t>VARA DE CLAVO</t>
  </si>
  <si>
    <t>PUNTILLA</t>
  </si>
  <si>
    <t>LB</t>
  </si>
  <si>
    <t>CONCRETO 10MPA (1500 PSI)</t>
  </si>
  <si>
    <t>POLISOMBRA VERDE</t>
  </si>
  <si>
    <t>GRAPA 1"</t>
  </si>
  <si>
    <t>SUBTOTAL MATERIALES</t>
  </si>
  <si>
    <t>III- MANO DE OBRA</t>
  </si>
  <si>
    <t>CUADRILLA ALB 0:2</t>
  </si>
  <si>
    <t>DIA</t>
  </si>
  <si>
    <t>SUBTOTAL MANO DE OBRA</t>
  </si>
  <si>
    <t>IV- TRANSPORTE</t>
  </si>
  <si>
    <t>SUBTOTAL TRANSPORTE</t>
  </si>
  <si>
    <t>V- HERRAMIENTAS</t>
  </si>
  <si>
    <t>HERRAMIENTAS MENORES</t>
  </si>
  <si>
    <t>LIMPIEZA, DESCAPOTE, RETIRO SOBRANTE MECANICO H=0.20M</t>
  </si>
  <si>
    <t>,</t>
  </si>
  <si>
    <t xml:space="preserve">RETROEXCAVADORA  KOMATSU WB-140 O SIMILAR </t>
  </si>
  <si>
    <t>VOLQUETA 6M3 CON CARGUE</t>
  </si>
  <si>
    <t>EQUIPO DE PRECISIÓN TOPCON AT-B4 O SIMILAR</t>
  </si>
  <si>
    <t>DURMIENTE ORDINARIO</t>
  </si>
  <si>
    <t xml:space="preserve">PUNTILLAS </t>
  </si>
  <si>
    <t>ESTACAS, MARCAS, CLAVOS Y DEMÁS ELEMENTOS</t>
  </si>
  <si>
    <t>CUADRILLA TOP 1:2</t>
  </si>
  <si>
    <t>LOCALIZACION Y REPLANTEO Y TOPOGRAFIA</t>
  </si>
  <si>
    <t>EQUIPO DE PRECISION TOPCON AT-B4 O SIMILAR</t>
  </si>
  <si>
    <t>ESTACAS,MARCAS,CLAVOS Y DEMAS ELEMENTOS</t>
  </si>
  <si>
    <t>HERRAMIENTA MENORES</t>
  </si>
  <si>
    <t>DEMOLICION DE CONSTRUCCION EXISTENTE (INC. RETIROO DE SOBRANTE)</t>
  </si>
  <si>
    <t>DIAS</t>
  </si>
  <si>
    <t>COMPRESOR 2 MARTILLOS COMPAIR C76 O SIMILAR</t>
  </si>
  <si>
    <t xml:space="preserve">CUADRILLA ALB 0:2 </t>
  </si>
  <si>
    <t>VOLQUETA 6M3 CON DESCARGUE</t>
  </si>
  <si>
    <t>VIBROCOMPACTADOR (RANA) 8 HP</t>
  </si>
  <si>
    <t>RECEBO COMUN</t>
  </si>
  <si>
    <t xml:space="preserve">CIMENTACION </t>
  </si>
  <si>
    <t>CONCRETO 14 Mpa (2000PSI)</t>
  </si>
  <si>
    <t>CUADRILLA DE ALBAÑILERIA 1:1</t>
  </si>
  <si>
    <t>VIBRADOR ELECTRICO M2000 O SIMILAR</t>
  </si>
  <si>
    <t xml:space="preserve">   VACIADO DE PLACA CONTRAPISO DE 10 CM EN CONCRETO DE 24MPA (3500 PSI)</t>
  </si>
  <si>
    <t>TABLA CHAPA ORDINARIA 0.1M</t>
  </si>
  <si>
    <t xml:space="preserve">   IMPERMEABILIZACIÓN CON GEOTEXTIL NT2000 DE PAVCO O SIMILAR</t>
  </si>
  <si>
    <t xml:space="preserve">GEOTEXTIL NT2000 DE PAVCO </t>
  </si>
  <si>
    <t>CUADRILLA DE ALB 0:2</t>
  </si>
  <si>
    <t xml:space="preserve">ESTRUCTURA </t>
  </si>
  <si>
    <t xml:space="preserve">   COLUMNAS EN CONCRETO DE 24MPA (3500 PSI)</t>
  </si>
  <si>
    <t>VIBRADOR ELECTRICO M2000</t>
  </si>
  <si>
    <t>CONCRETO DE 24 MPA 3500 PSI</t>
  </si>
  <si>
    <t>TABLA BURRA ORDINARIO</t>
  </si>
  <si>
    <t>REPISA ORDINARIO</t>
  </si>
  <si>
    <t>VARA CLAVO</t>
  </si>
  <si>
    <t>CUADRILLA DE ALB 1:1</t>
  </si>
  <si>
    <t xml:space="preserve">   VIGA DE APOYO ESTRUCTURA METALICA EN CONCRETO DE 24MPA (3500 PSI)</t>
  </si>
  <si>
    <t xml:space="preserve">   MURO EN CONCRETO DE 24MPA (3500 PSI)</t>
  </si>
  <si>
    <t xml:space="preserve">DIA </t>
  </si>
  <si>
    <t>FORMALETA DE ENTREPISO M2 POR MES</t>
  </si>
  <si>
    <t xml:space="preserve">   LOSA ALIGERADA ENTREPISO H = 50 CM - CONCRETO 24MPA (3500 PSI)</t>
  </si>
  <si>
    <t>CASETON DE GUADUA</t>
  </si>
  <si>
    <t>PLANCHON ORDINARIO</t>
  </si>
  <si>
    <t xml:space="preserve">   LOSA ALIGERADA CUBIERTA H = 45 CM - CONCRETO 24MPA (3500 PSI)</t>
  </si>
  <si>
    <t xml:space="preserve">   RAMPA EN CONCRETO AÉREA DE 24MPA (3500 PSI)SEGÚN DISEÑO ESTRUCTURAL</t>
  </si>
  <si>
    <t xml:space="preserve">   VIGAS AÉREAS EN CONCRETO 24MPA (3500 PSI)</t>
  </si>
  <si>
    <t xml:space="preserve">   ESCALERAS EN CONCRETO 24MPA (3500 PSI)</t>
  </si>
  <si>
    <t xml:space="preserve">   TANQUE PARA ALMACENAMIENTO DE AGUA EN CONCRETO IMPERMEABILIZADO DE 28 MPA (4000 PSI)</t>
  </si>
  <si>
    <t>CONCRETO DE 28 MPA 4000  PSI</t>
  </si>
  <si>
    <t>IMPERMEABILIZANTE INTEGRAL CONCRETO 21 MPA</t>
  </si>
  <si>
    <t>CINTA SIKA PVC O22</t>
  </si>
  <si>
    <t xml:space="preserve">   FIGURADO DE ACERO DE 60000 PSI</t>
  </si>
  <si>
    <t>ACERO DE REFUERZO 420 MPA</t>
  </si>
  <si>
    <t>ALAMBRE NEGRO N°18</t>
  </si>
  <si>
    <t xml:space="preserve">LISTADO DE MATERIALES </t>
  </si>
  <si>
    <t>Insumo</t>
  </si>
  <si>
    <t>U.M.</t>
  </si>
  <si>
    <t>Vr.Unitario</t>
  </si>
  <si>
    <t>ACCESORIOS FIJACIÒN TEJA METÀLICA TERMOACÚSTICA</t>
  </si>
  <si>
    <t>UN</t>
  </si>
  <si>
    <t>ABRAZADERAS 1/2" A 2"</t>
  </si>
  <si>
    <t>ABRAZADERAS 2"</t>
  </si>
  <si>
    <t>ABRAZADERAS 3"</t>
  </si>
  <si>
    <t>ABRAZADERAS 4"</t>
  </si>
  <si>
    <t>ABRAZADERA DOBLE ALETA</t>
  </si>
  <si>
    <t>ABRAZADERA TRAPECIO 1"</t>
  </si>
  <si>
    <t>ABRAZADERA TRAPECIO 1-1/4"</t>
  </si>
  <si>
    <t>ABRAZADERA TRAPECIO 1-1/2"</t>
  </si>
  <si>
    <t>ABRAZADERA TRAPECIO 2-1/2"</t>
  </si>
  <si>
    <t>ABRAZADERA TRAPECIO 3"</t>
  </si>
  <si>
    <t>ABUTILON H=1.5 m</t>
  </si>
  <si>
    <t>ACCESORIO ACERO GALV. 4"</t>
  </si>
  <si>
    <t>ACCESORIOS BANDEJA TIPO ESCALERA 30 * 8</t>
  </si>
  <si>
    <t>ACCESORIO BLAZE MASTER SCH 40 1"</t>
  </si>
  <si>
    <t>ACCESORIO BLAZE MASTER SCH 40 1-1/4"</t>
  </si>
  <si>
    <t>ACCESORIO BLAZE MASTER SCH 40 1-1/2"</t>
  </si>
  <si>
    <t>ACCESORIO BLAZE MASTER SCH 40 2-1/2"</t>
  </si>
  <si>
    <t>ACCESORIO BLAZE MASTER SCH 40 3"</t>
  </si>
  <si>
    <t>ACCESORIO COBRE 1/2"</t>
  </si>
  <si>
    <t>ACCESORIO CONDUIT EMT 3/4"</t>
  </si>
  <si>
    <t>ACCESORIO CONDUIT EMT 1"</t>
  </si>
  <si>
    <t>ACCESORIO CONDUIT GALVANIZADO 1"</t>
  </si>
  <si>
    <t>ACCESORIO CONDUIT PVC 3/4"</t>
  </si>
  <si>
    <t>ACCESORIO CONDUIT PVC 1"</t>
  </si>
  <si>
    <t>ACCESORIO CONDUIT PVC 1-1/4"</t>
  </si>
  <si>
    <t>ACCESORIO CONDUIT PVC 1-1/2"</t>
  </si>
  <si>
    <t>ACCESORIO CONDUIT PVC 2"</t>
  </si>
  <si>
    <t>ACCESORIO CONDUIT PVC 3"</t>
  </si>
  <si>
    <t>ACCESORIO NOVAFORT 6"</t>
  </si>
  <si>
    <t>ACCESORIO NOVAFORT 8"</t>
  </si>
  <si>
    <t>ACCESORIO PVC C-900 - 4"</t>
  </si>
  <si>
    <t>ACCESORIO PVC P 1/2"</t>
  </si>
  <si>
    <t>ACCESORIO PVC P 3/4"</t>
  </si>
  <si>
    <t>ACCESORIO PVC P 1"</t>
  </si>
  <si>
    <t>ACCESORIO PVC P 1-1/4"</t>
  </si>
  <si>
    <t>ACCESORIO PVC P 1-1/2"</t>
  </si>
  <si>
    <t>ACCESORIO PVC P 2"</t>
  </si>
  <si>
    <t>ACCESORIO PVC P 2-1/2"</t>
  </si>
  <si>
    <t>ACCESORIO PVC P 3"</t>
  </si>
  <si>
    <t>ACCESORIO PVC S 2"</t>
  </si>
  <si>
    <t>ACCESORIO PVC S 3"</t>
  </si>
  <si>
    <t>ACCESORIO PVC S 4"</t>
  </si>
  <si>
    <t>ACCESORIO PVC S 6"</t>
  </si>
  <si>
    <t>ACCESORIO RAN UL/FM Ø= 1/2"</t>
  </si>
  <si>
    <t>ACERO DE REFUERZO 240 Mpa</t>
  </si>
  <si>
    <t>ACERO DE REFUERZO 420 Mpa</t>
  </si>
  <si>
    <t>ACERO P/ESTRUCTURA METÁLICA</t>
  </si>
  <si>
    <t>ACOPLE SANITARIO</t>
  </si>
  <si>
    <t>ACOPLE LAVAMANOS</t>
  </si>
  <si>
    <t>ACOPLE LAVAPLATOS</t>
  </si>
  <si>
    <t>ADAPTADOR TERMINAL EMT 1"</t>
  </si>
  <si>
    <t>ADAPTADOR TERMINAL EMT 3/4"</t>
  </si>
  <si>
    <t>ADAPTADOR TERMINAL PVC 3/4"</t>
  </si>
  <si>
    <t>ADAPTADOR TERMINAL PVC 1"</t>
  </si>
  <si>
    <t>ADAPTADOR TERMINAL PVC 1-1/4"</t>
  </si>
  <si>
    <t>ADOQUIN VEHICULAR ESPAÑOL TERRACOTA MOORE</t>
  </si>
  <si>
    <t>AGUA</t>
  </si>
  <si>
    <t>LT</t>
  </si>
  <si>
    <t>ALAMBRE DE Cu DESNUDO Nº 10</t>
  </si>
  <si>
    <t>ALAMBRE DE Cu DESNUDO Nº 12</t>
  </si>
  <si>
    <t>ALAMBRE DE Cu DESNUDO Nº 14</t>
  </si>
  <si>
    <t>ALAMBRE DE Cu Nº 10 THHN - THWN</t>
  </si>
  <si>
    <t>ALAMBRE DE Cu Nº 12 THHN - THWN</t>
  </si>
  <si>
    <t>ALAMBRE DE Cu Nº 14 THHN - THWN</t>
  </si>
  <si>
    <t>ALAMBRE DE PÚA</t>
  </si>
  <si>
    <t>ALAMBRE NEGRO N° 18</t>
  </si>
  <si>
    <t>AMARRE DE VELCRO</t>
  </si>
  <si>
    <t>ANCLAJE 1/2"</t>
  </si>
  <si>
    <t>ANCLAJE EPÒXICO DIF. DIÀMETROS</t>
  </si>
  <si>
    <t>APROBACIÓN PROYECTO ELÉCTRICO</t>
  </si>
  <si>
    <t>ARENA FINA</t>
  </si>
  <si>
    <t>ARENA SEMILAVADA DE PEÑA</t>
  </si>
  <si>
    <t>ARENA LAVADA DE RIO</t>
  </si>
  <si>
    <t>BALDOSA GRANITO 0.30 * 0.30 GRIS PAYANDÉ</t>
  </si>
  <si>
    <t>BARANDA METÁLICA CON VERTICALES DE SOPORTE TUBULAR EN LÁMINA, ANCLADA A LA VIGA DE BORDE, HORIZONTALES EN PLATINA SENCILLA Y ORNAMENTOS EN VARILLA, CON ANTICORROSIVO Y ESMALTE MATE COLOR GRIS ALUMINIO</t>
  </si>
  <si>
    <t>Barra en U reforzada a piso y Barra Recta en acero inoxidable Socoda o Similar para discapacitados</t>
  </si>
  <si>
    <t>JGO</t>
  </si>
  <si>
    <t>Barraje TGB</t>
  </si>
  <si>
    <t>BISAGRA COMUN</t>
  </si>
  <si>
    <t>BLOQUE DE ARCILLA N° 5</t>
  </si>
  <si>
    <t>BLOQUE DE CEMENTO 12 * 19 * 39</t>
  </si>
  <si>
    <t>BLOQUE TIPO CALADO</t>
  </si>
  <si>
    <t>BORDILLO PREFABRICADO A-80</t>
  </si>
  <si>
    <t>BREAKER 1 * 30 A</t>
  </si>
  <si>
    <t>CABALLETE PARA TEJA TERMOACÚSTICA CINDULIT O SIMILAR</t>
  </si>
  <si>
    <t>CABLE UTP CAT 6A, 500 MHz, 10G, 4x2x23 AWG</t>
  </si>
  <si>
    <t>CABLE DE Cu Nº 300 MCM THHN - THWN</t>
  </si>
  <si>
    <t>CABLE DE Cu DESNUDO Nº 2/0 AWG</t>
  </si>
  <si>
    <t>CABLE DE Cu DESNUDO Nº 6 AWG</t>
  </si>
  <si>
    <t>CABLE DE Cu DESNUDO Nº 8 AWG</t>
  </si>
  <si>
    <t>CABLE DE Cu Nº 3/0 THHN - THWN</t>
  </si>
  <si>
    <t>CABLE DE Cu Nº 2/0 THHN - THWN</t>
  </si>
  <si>
    <t>CABLE DE Cu Nº 1/0 THHN - THWN</t>
  </si>
  <si>
    <t>CABLE DE Cu Nº 2 THHN - THWN</t>
  </si>
  <si>
    <t>CABLE DE Cu Nº 4 THHN - THWN</t>
  </si>
  <si>
    <t>CABLE DE Cu Nº 6 THHN - THWN</t>
  </si>
  <si>
    <t>CABLE DE Cu Nº 8 THHN - THWN</t>
  </si>
  <si>
    <t>CABLE ALUMINIO AISLADO THW 1/0</t>
  </si>
  <si>
    <t>CABLE ALUMINIO AISLADO THW 2/0</t>
  </si>
  <si>
    <t>CABLE COAXIAL TV</t>
  </si>
  <si>
    <t>CABLE TELEFÓNICO</t>
  </si>
  <si>
    <t>Cable telefónico multipar 30 pares tipo exterior 0,4</t>
  </si>
  <si>
    <t>CAJA CONTADORES</t>
  </si>
  <si>
    <t>CAJA GALVANIZADA 2400</t>
  </si>
  <si>
    <t>CANAL PVC PARA AGUAS LLUVIAS, INCLUYE ACCESORIOS DE FIJACIÓN</t>
  </si>
  <si>
    <t>CANAL LATÒN, DESARROLLO 50 CM, LÀM. GALV. C18</t>
  </si>
  <si>
    <t>CANAL LATÒN, DESARROLLO 75 CM, LÀM. GALV. C18</t>
  </si>
  <si>
    <t>CANAL LÀM. GALVANIZADA, D=1.00 M, C18</t>
  </si>
  <si>
    <t>CANCHA MÚLTIPLE</t>
  </si>
  <si>
    <t>CANECA EN ACERO INOXIDABLE</t>
  </si>
  <si>
    <t>CAOLÍN</t>
  </si>
  <si>
    <t>BT</t>
  </si>
  <si>
    <t>Caja con tapa PVC para registro</t>
  </si>
  <si>
    <t>CASETÒN DE GUADUA</t>
  </si>
  <si>
    <t>Central telefónica para 8 lineas, 20 extensiones,  con consola, equipos de protección, programación, fuente, tarjetas y demás accesorios para un correcto funcionamiento.</t>
  </si>
  <si>
    <t>CESPEDÒN</t>
  </si>
  <si>
    <t>CEMENTO BLANCO</t>
  </si>
  <si>
    <t>CEMENTO GRIS</t>
  </si>
  <si>
    <t>CEMENTO SOLVENTE 1/8GL</t>
  </si>
  <si>
    <t>CERÁMICA PISO 30 * 30</t>
  </si>
  <si>
    <t>CERÁMICA PARED EGEO PLANO 25*25</t>
  </si>
  <si>
    <t>CERRADURA SAFE BAÑO CLASIC 152 - ALUMINO SATINADO</t>
  </si>
  <si>
    <t>CERRADURA SAFE ENTRADA 142A ALUMINIO SATINADO</t>
  </si>
  <si>
    <t>CERRADURA PUERTAS ACCESO PRINCIPAL</t>
  </si>
  <si>
    <t>CERRADURA CILÍNDRICA DE POMO METÁLICO GRADO 2 FUNCIÓN AULA, (POMO INTERIOR SIEMPRE ACTIVO, POMO EXTERIOR SE ACTIVA CON LA LLAVE.) CON AMAESTRAMIENTO SEGÚN ESPECIFICACIÓN. REFERENCIA YALE  LF 5308 O EQUIVALENTE</t>
  </si>
  <si>
    <t>CERTIFICADO RETIE</t>
  </si>
  <si>
    <t>GBL</t>
  </si>
  <si>
    <t>CERTIFICADO RETILAP</t>
  </si>
  <si>
    <t>CESPEDÓN</t>
  </si>
  <si>
    <t>CHEQUE DE 1"</t>
  </si>
  <si>
    <t>CHEQUE AMORTIGUADO RANURADO 4"</t>
  </si>
  <si>
    <t>CHEQUE AMORTIGUADO RANURADO 3"</t>
  </si>
  <si>
    <t>CILINDRO DE GAS</t>
  </si>
  <si>
    <t>CINTA TEFLÓN</t>
  </si>
  <si>
    <t>COLOR MINERAL</t>
  </si>
  <si>
    <t>CONCRETO 21 Mpa (3000 PSI)</t>
  </si>
  <si>
    <t>CONCRETO 21 Mpa (3000 PSI)TIPO TREMIE</t>
  </si>
  <si>
    <t>CONCRETO 10 Mpa (3000 PSI)</t>
  </si>
  <si>
    <t>CONCRETO DE 14 Mpa (2000 PSI)</t>
  </si>
  <si>
    <t>CONCRETO DE 24 MPA (3500 PSI)</t>
  </si>
  <si>
    <t>CONECTOR BIMETÀLICO 2/0 CU A 1/0 AL</t>
  </si>
  <si>
    <t>CUBIERTA TERMOACÚSTICA CINDULIT 180 O SIMILAR</t>
  </si>
  <si>
    <t>DESINFECCIÓN DEL SISTEMA</t>
  </si>
  <si>
    <t>DILATACIÓN EN BRONCE</t>
  </si>
  <si>
    <t xml:space="preserve">Dispensador de Jabón Liquido Plastico Familia o Similar </t>
  </si>
  <si>
    <t>Dispensador de Papel higiénico Jumbo blanco Plástico Familia o similar. Ref. 83410</t>
  </si>
  <si>
    <t>Divisiones y puertas en acero inoxidable para baños (Divisiones y puertas)</t>
  </si>
  <si>
    <t>DIVISIÓN SANITARIA CON PUERTA EN LÁMINA GALVANIZADA Barra en U reforzada (calibre 18) ACABADO CON PINTURA ELECTROSTÁTICA HORNEABLE COLOR, PATA DE ANCLAJE EN VARILLA DE HIERRO Y TUBULAR EN LÁMINA COLD ROLLED</t>
  </si>
  <si>
    <t>DUCHA SENCILLA PISCIS</t>
  </si>
  <si>
    <t>DUCTO DB 3"</t>
  </si>
  <si>
    <t>DUCTO DB 6"</t>
  </si>
  <si>
    <t>ENCAMISADO PLÁSTICO</t>
  </si>
  <si>
    <t>Equipo de presion agua potable (Q=3,85 l/s; CDT=18mca; P=2 HP)</t>
  </si>
  <si>
    <t>EQUIPOS DE MEDIDA</t>
  </si>
  <si>
    <t>ESPEJO BISELADO PARA BAÑOS 6 mm</t>
  </si>
  <si>
    <t>ESMALTE PARA TRÁFICO</t>
  </si>
  <si>
    <t>GL</t>
  </si>
  <si>
    <t>ESTRUCTURA METÁLICA PARA CUBIERTA, INCLUYE ANTICORROSIVO, ACABADO EN PINTURA DE POLIURETANO</t>
  </si>
  <si>
    <t>ESTRUCTURA METÁLICA, INCLUYE ANTICORROSIVO, ACABADO EN PINTURA DE POLIURETANO</t>
  </si>
  <si>
    <t>ESTUFA DE GAS DE 3 PUESTOS</t>
  </si>
  <si>
    <t>EXTINTOR</t>
  </si>
  <si>
    <t>FACE PLATE BLANCO MARFIL DOBLE</t>
  </si>
  <si>
    <t>FLANCHE LATÒN D=0.20, LÀM. GALV. C22</t>
  </si>
  <si>
    <t>FLOTADOR DE 3/4"</t>
  </si>
  <si>
    <t>Gabinete de 33 u 1626*600*600mm</t>
  </si>
  <si>
    <t>Gabinete de sobreponer para panel de 8 Relés (15,08"*16,5"*4,625")</t>
  </si>
  <si>
    <t>GABINETE TIPO 2 - 2-1/2"</t>
  </si>
  <si>
    <t>GANCHO EN ACERO INOXIDABLE</t>
  </si>
  <si>
    <t>GANCHO GALVANIZADO PARA TEJA ETERNIT</t>
  </si>
  <si>
    <t xml:space="preserve">Gancho toallero </t>
  </si>
  <si>
    <t>GÁRGOLA PREFABRICADA EN CONCRETO</t>
  </si>
  <si>
    <t>GRAFIL DE 4.0 mm A 8.5 mm</t>
  </si>
  <si>
    <t>GRANITO Nº 3</t>
  </si>
  <si>
    <t>GRAVILLA BLANCA 2"</t>
  </si>
  <si>
    <t>GRAVILLA MONA</t>
  </si>
  <si>
    <t>Grifería en laboratorios sencillo Balta Cruceta de Corona o similar</t>
  </si>
  <si>
    <t>Grifería para lavamanos Llave individual vento de corona o similar</t>
  </si>
  <si>
    <t>GRIFERÍA LAVAPLATOS CUELLO DE GANSO</t>
  </si>
  <si>
    <t>GROUTING</t>
  </si>
  <si>
    <t>HIDRÒFUGO FACHADA</t>
  </si>
  <si>
    <t>IMPERMEABILIZANTE FACHADA</t>
  </si>
  <si>
    <t>IMPERMEABILIZANTE INTEGRAL CONCRETO 21 Mpa</t>
  </si>
  <si>
    <t>INCREMENTO BOMBEO</t>
  </si>
  <si>
    <t>INTERRUPTOR SENCILLO</t>
  </si>
  <si>
    <t>INTERR. AUTOM. ENCHUFABLE 1 * 20 AMP</t>
  </si>
  <si>
    <t>INTERR. AUTOM. ENCHUFABLE 3 * 50 AMP</t>
  </si>
  <si>
    <t>INTERR. AUTOM. INDUSTRIAL 3 * 70 A, 25 KA</t>
  </si>
  <si>
    <t>INTERR. AUTOM. INDUSTRIAL 3 * 60 A, 50 KA</t>
  </si>
  <si>
    <t>INTERR. AUTOM. INDUSTRIAL 3 * 40 A, 50 KA</t>
  </si>
  <si>
    <t>INTERR. AUTOM. INDUSTRIAL 3 * 175 A, 50 KA</t>
  </si>
  <si>
    <t>INTERR. AUTOM. INDUSTRIAL 3 * 60/40 A, 240 VAC 25 KA</t>
  </si>
  <si>
    <t>INTERR. AUTOM. INDUSTRIAL 3 * 80 A, 240 VAC 25 KA</t>
  </si>
  <si>
    <t>JARDINES</t>
  </si>
  <si>
    <t>Juego de 3 soportes de gestión de cables para gabinete de 600 mm ancho y profundidad</t>
  </si>
  <si>
    <t>JUEGO DE INCRUSTAR ROYAL</t>
  </si>
  <si>
    <t>JUEGOS INFANTILES MÓDULO 3</t>
  </si>
  <si>
    <t>JUNTA DE NEOPRENO DE ALTA DENSIDAD</t>
  </si>
  <si>
    <t>JUNTA DE EXPANSIÓN DE 4"</t>
  </si>
  <si>
    <t>LADRILLO GRAN FORMATO DE SANTAFE</t>
  </si>
  <si>
    <t>LADRILLO RECOCIDO</t>
  </si>
  <si>
    <t>LADRILLO TOLETE COMÙN</t>
  </si>
  <si>
    <t>LÁMINA DE ICOPOR</t>
  </si>
  <si>
    <t>LAVAMANOS DE COLGAR TIPO MILANO DE CORONA O SIMILAR, COLOR BLANCO</t>
  </si>
  <si>
    <t>LAVAMANOS DE COLGAR TIPO LÍNEA INFANTIL O SIMILAR, COLOR BLANCO</t>
  </si>
  <si>
    <t>LAVAPLATOS EN ACERO INOXIDABLE TANQUE PROFUNDO DE SOBREPONER 0.60 * 0.50 * 0.23 M. DE SOCODA O SIMILAR</t>
  </si>
  <si>
    <t>LIMPIADOR REM PVC  - 1/4GAL</t>
  </si>
  <si>
    <t>Llave de cocina pesada económica Cromo Corona o Similar</t>
  </si>
  <si>
    <t>MAD. ESTACÒN INMUNIZADO 2.50 m</t>
  </si>
  <si>
    <t>MADERA ROLLIZA DE 10 * 10</t>
  </si>
  <si>
    <t>MALLA ELECTROSOLDADA</t>
  </si>
  <si>
    <t>MALLA PARA GAVIONES</t>
  </si>
  <si>
    <t>MANGUERA CONEXIÓN CILINDROS</t>
  </si>
  <si>
    <t>MANÓMETRO GLICERINA 2"</t>
  </si>
  <si>
    <t>MANTO METAL FOIL FL-100 AUTOPROTEGIDO CON UNA CAPA DE ALUMINIO GROFADO FIBERGLASS</t>
  </si>
  <si>
    <t>MANUAL DE OPERACIÒN Y MANTENIMIENTO</t>
  </si>
  <si>
    <t>MARCO Y CONTRAMARCO EN ÀNGULO DE 2" * 2"</t>
  </si>
  <si>
    <t>MARCO Y CONTRAMARCO C.I. 0.60 * 0.60</t>
  </si>
  <si>
    <t>MARCO Y CONTRAMARCO C.I. 1.00 * 1.00</t>
  </si>
  <si>
    <t>MARCO Y CONTRAMARCO C.I. 1.20 * 1.20</t>
  </si>
  <si>
    <t>MARCO Y CONTRAMARCO CS-275</t>
  </si>
  <si>
    <t>MARCO Y CONTRAMARCO CS-276</t>
  </si>
  <si>
    <t>MARMOLINA</t>
  </si>
  <si>
    <t>MATERIALES DE ASEO</t>
  </si>
  <si>
    <t>MATERIAL PARA LAVADO DE TANQUES</t>
  </si>
  <si>
    <t>MEDIDOR TRIFÀSICO ELECTROMAGNÈTICO DE 20-100 A CALIBRADO</t>
  </si>
  <si>
    <t>MORTERO 1:3</t>
  </si>
  <si>
    <t>MORTERO 1:4</t>
  </si>
  <si>
    <t>Mutitoma con cable de 1.8m, 8 salidas, con supresor de 13kA.</t>
  </si>
  <si>
    <t>Organizador Horizontal doble delantero trasero con tapa heavy dutty.</t>
  </si>
  <si>
    <t>ORINAL MEDIANO DE ENTRADA SUPERIOR DE CORONA, COLOR BLANCO CON FLUXÓMETRO TIPO PUSH</t>
  </si>
  <si>
    <t>ORINAL PEQUEÑO DE ENTRADA SUPERIOR, COLOR BLANCO CON FLUXÓMETRO TIPO PUSH</t>
  </si>
  <si>
    <t>ÁRBOL S/ESPECIFICACIONES</t>
  </si>
  <si>
    <t>PASAMANOS EN TUBERÍA GALVANIZADA DE 1-1/2", ANCLADO A MURO O BARANDA, INCLUYE ELEMENTOS DE FIJACIÓN, ACABADO NATURAL MATE</t>
  </si>
  <si>
    <t>Patch cord 10G, MOD8, (2,7 metros), azul.</t>
  </si>
  <si>
    <t>Patch cord 10G, MOD8, 5ft (1,5 metros), azul</t>
  </si>
  <si>
    <t>Patch panel preensambaldo de fabrica, de forma curva, para categoría 6A, de 24 puertos, de 1 unidad de rack, con herraje para organización y manejo posterior de cable Datos.</t>
  </si>
  <si>
    <t>PEGACOR</t>
  </si>
  <si>
    <t>PIEDRA MEDIA ZONGA</t>
  </si>
  <si>
    <t>PINTURA KORAZA</t>
  </si>
  <si>
    <t>PINTURA EPÒXICA</t>
  </si>
  <si>
    <t>PINTURA TRÁFICO</t>
  </si>
  <si>
    <t>PLANOS RÉCORD</t>
  </si>
  <si>
    <t>PLASTOCRETE DM</t>
  </si>
  <si>
    <t>GEOTEXTIL NT2000 DE PAVCO O SIMILAR</t>
  </si>
  <si>
    <t>PORTACANDADO</t>
  </si>
  <si>
    <t>PROCESO DE PILOTAJE D=0.30 M</t>
  </si>
  <si>
    <t>PRUEBA DE REDES</t>
  </si>
  <si>
    <t>PUERTA BATIENTE CON MARCO Y PERSIANA EN LÁMINA COLD ROLLED (calibre 18) CON ANTICORROSIVO Y ESMALTE COLOR NEGRO MATE</t>
  </si>
  <si>
    <t>PUERTA PLEGABLE CON MARCOS EN LÁMINA COLD ROLLED (calibre 18) Y HOJAS PERSIANA EN LÁMINA METÁLICA</t>
  </si>
  <si>
    <t>PUERTA CORREDIZA CON MARCOSEN LÁMINA COLD ROLLED (calibre 18) Y HOJAS DE PERSIANA EN LÁMINA METÁLICA</t>
  </si>
  <si>
    <t>RECEBO B-200</t>
  </si>
  <si>
    <t>RECEBO COMÚN</t>
  </si>
  <si>
    <t>REJA BANCARIA COCINA</t>
  </si>
  <si>
    <t>REJA CERRAMIENTO S/DISEÑO SED</t>
  </si>
  <si>
    <t>REJA SEPARACIÓN COLEGIO ZONA EXTERIOR</t>
  </si>
  <si>
    <t>REJILLA DE ALUMINIO 4" * 3" CON SOSCO Y CÚPULA</t>
  </si>
  <si>
    <t xml:space="preserve">REJILLA DE ALUMINIO 4" * 3" CON SOSCO </t>
  </si>
  <si>
    <t>REJILLA EN CONCRETO PARA CÀRCAMO</t>
  </si>
  <si>
    <t>REJILLA METÀLICA PARA PISO 0.30</t>
  </si>
  <si>
    <t>REGISTRO BOLA 1/2", TIPO PESADO</t>
  </si>
  <si>
    <t>REGISTRO P/D DE ROSCAR 1/2", TIPO PESADO</t>
  </si>
  <si>
    <t>REGISTRO P/D DE ROSCAR 3/4", TIPO PESADO</t>
  </si>
  <si>
    <t>REGISTRO P/D DE ROSCAR 1", TIPO PESADO</t>
  </si>
  <si>
    <t>REGISTRO P/D DE ROSCAR 1-1/4", TIPO PESADO</t>
  </si>
  <si>
    <t>REGISTRO P/D DE ROSCAR 2", TIPO PESADO</t>
  </si>
  <si>
    <t>REGISTRO RW 3/4"</t>
  </si>
  <si>
    <t>REGISTRO RW 1"</t>
  </si>
  <si>
    <t>REGULADOR PRIMERA ETAPA</t>
  </si>
  <si>
    <t>SANITARIO TIPO KIDDY DE CORONA O SIMILAR, LÍNEA INFANTIL DE UNA SOLA PIEZA, COLOR BLANCO TIPO AHORRADOR</t>
  </si>
  <si>
    <t>SANITARIO TIPO AVANTI PLUS CORONA COLOR BLANCO</t>
  </si>
  <si>
    <t>SANITARIO TIPO AQUAJET DE CORONA O SIMILAR, COLOR BLANCO, TIPO AHORRADOR, LÍNEA INSTITUCIONAL</t>
  </si>
  <si>
    <t>SARDINEL PREFABRICADO A-10</t>
  </si>
  <si>
    <t>SELLADOR ETERNA</t>
  </si>
  <si>
    <t>Sensor 24 VDC, tecnologia PIR con fotocelda para manejo de nivel de luz y con relé aislado, cobertura: 360º, hasta 46,5m2.OS pasivo</t>
  </si>
  <si>
    <t>SENSOR DE FLUJO 3"</t>
  </si>
  <si>
    <t>SIFÓN PVC-S 3"</t>
  </si>
  <si>
    <t>SIKA 1</t>
  </si>
  <si>
    <t>SOLDADURA CAD WELL 115 GR</t>
  </si>
  <si>
    <t>SOLDADURA PVC 1/4 GAL</t>
  </si>
  <si>
    <t>SOPORTE CANAL PVC DE 3"</t>
  </si>
  <si>
    <t>Strip telefónico general con capacidad para 50 pares según normas, incluye 1 mini bloques de 50 pares de tipo inserción incluye elementos de fijación marcación  60x60*15</t>
  </si>
  <si>
    <t>TABLA BURRA ORDINARIO 0.20 m</t>
  </si>
  <si>
    <t>TABLA BURRA ORDINARIO 0.30 m</t>
  </si>
  <si>
    <t>TABLA CHAPA ORDINARIO 0.10 m</t>
  </si>
  <si>
    <t>TABLA CHAPA ORDINARIO 0.28 m</t>
  </si>
  <si>
    <t>TABLERO DE 12 CIRCUITOS</t>
  </si>
  <si>
    <t>TABLERO DE 18 CIRCUITOS</t>
  </si>
  <si>
    <t>TANQUE PLÁSTICO LÍNEA BAJA PARA ALMACENAMIENTO DE AGUA DE 1000 LITROS</t>
  </si>
  <si>
    <t>TANQUE PLÁSTICO LÍNEA BAJA PARA ALMACENAMIENTO DE AGUA DE 2000 LITROS</t>
  </si>
  <si>
    <t>Tapa troquel metálica 15 cm</t>
  </si>
  <si>
    <t>TAPÒN DE INSPECCIÒN 4"</t>
  </si>
  <si>
    <t>TEJA ONDULADA Nº 6, PERFIL 7</t>
  </si>
  <si>
    <t>TEJA METÀLICA TERMOACÚSTICA</t>
  </si>
  <si>
    <t>TEJA TRANSLÚCIDA DE POLICARBONATO ALVEOLAR</t>
  </si>
  <si>
    <t>TIERRA NEGRA</t>
  </si>
  <si>
    <t>TOMACORRIENTE BIFÀSICO</t>
  </si>
  <si>
    <t>TOMACORRIENTE DOBLE PT</t>
  </si>
  <si>
    <t>TOMACORRIENTE DOBLE REGULADO PT</t>
  </si>
  <si>
    <t>TOMACORRIENTE DOBLE PT - GFCI</t>
  </si>
  <si>
    <t>TOMA TELEFÓNICA</t>
  </si>
  <si>
    <t>TOMA TELEVISIÓN</t>
  </si>
  <si>
    <t>TOMA TRIFÀSICA INCRUSTAR 50 A</t>
  </si>
  <si>
    <t>TRAMPA DE GRASAS PREFABRICADA</t>
  </si>
  <si>
    <t>Tracjack, Cat6A, UTP 10G Rojo</t>
  </si>
  <si>
    <t>Transferencia Automatica monocuenta 3x208 VAC, 50A para bombas contra incendio.</t>
  </si>
  <si>
    <t>TRAGANTE DE 4" - 3"</t>
  </si>
  <si>
    <t>TRAGANTE DE 6"</t>
  </si>
  <si>
    <t>TRITURADO DE RIO</t>
  </si>
  <si>
    <t>TRITURADO FINO DE RIO</t>
  </si>
  <si>
    <t>TUBO ACERO CSC SCH 40 - 1/2"</t>
  </si>
  <si>
    <t>TUBO COBRE 1/2"</t>
  </si>
  <si>
    <t>TUBO CONDUIT GALVANIZADO 1"</t>
  </si>
  <si>
    <t>TUBO CONDUIT EMT 1"</t>
  </si>
  <si>
    <t>TUBO CONDUIT EMT 3/4"</t>
  </si>
  <si>
    <t>TUBO PVC CONDUIT 3/4"</t>
  </si>
  <si>
    <t>TUBO PVC CONDUIT 1"</t>
  </si>
  <si>
    <t>TUBO PVC CONDUIT 1-1/4"</t>
  </si>
  <si>
    <t>TUBO PVC CONDUIT 1-1/2"</t>
  </si>
  <si>
    <t>TUBO PVC CONDUIT 2"</t>
  </si>
  <si>
    <t>TUBO PVC CONDUIT 3"</t>
  </si>
  <si>
    <t>TUBO PVC L 2"</t>
  </si>
  <si>
    <t>TUBO PVC L 3"</t>
  </si>
  <si>
    <t>TUBO PVC L 4"</t>
  </si>
  <si>
    <t>TUBO PVC N 6"</t>
  </si>
  <si>
    <t>TUBO PVC N 8"</t>
  </si>
  <si>
    <t>TUBO PVC N 16"</t>
  </si>
  <si>
    <t>TUBO PVCP 1/2" RDE 9</t>
  </si>
  <si>
    <t>TUBO PVCP 3/4" RDE 11</t>
  </si>
  <si>
    <t>TUBO PVCP 1" RDE 13.5</t>
  </si>
  <si>
    <t>TUBO PVCP 1-1/4" RDE 21</t>
  </si>
  <si>
    <t>TUBO PVCP 1-1/2" RDE 21</t>
  </si>
  <si>
    <t>TUBO PVCP 2" RDE 21</t>
  </si>
  <si>
    <t>TUBO PVCP 2-1/2" RDE 21</t>
  </si>
  <si>
    <t>TUBO PVCP 3" RDE 21</t>
  </si>
  <si>
    <t>TUBO PVC S 2"</t>
  </si>
  <si>
    <t>TUBO PVC S 3"</t>
  </si>
  <si>
    <t>TUBO PVC S 4"</t>
  </si>
  <si>
    <t>TUBO PVC S 6"</t>
  </si>
  <si>
    <t>UPS 5 KVA, Trifásica 208/120V, True On line doble conversión entrada salida, autonomia de 7 Minutos al 100% , incluye accesorios de conexionado.</t>
  </si>
  <si>
    <t>VALLA INFORMATIVA</t>
  </si>
  <si>
    <t>VÁLVULA DE BOLA 1/2"</t>
  </si>
  <si>
    <t>VÁLVULA DE BOLA 3/4"</t>
  </si>
  <si>
    <t>VÁLVULA DE BOLA 1"</t>
  </si>
  <si>
    <t>VÁLVULA DE BOLA 1-1/4"</t>
  </si>
  <si>
    <t>VÁLVULA DE BOLA LISTADA 1"</t>
  </si>
  <si>
    <t>VÁLVULA DE MARIPOSA 4" LISTADA</t>
  </si>
  <si>
    <t>VÁLVULA DE MARIPOSA INDICADORA 3" LISTADA</t>
  </si>
  <si>
    <t>VÁLVULA EXPULSORA DE AIRE 1-1/2"</t>
  </si>
  <si>
    <t>VARILLA COBRE-COBRE 5/8" * 2.40 M</t>
  </si>
  <si>
    <t>VENTANA EN LÁMINA COLD ROLLED CAL. 18, TIPO REJILLA</t>
  </si>
  <si>
    <t>VÁLVULA DE RETENCIÒN 1"</t>
  </si>
  <si>
    <t>VINILTEX</t>
  </si>
  <si>
    <t>YESO</t>
  </si>
  <si>
    <t>WIN PLÀSTICO</t>
  </si>
  <si>
    <t>VALVULA DE LLENADO PARA CARRO TANQUE</t>
  </si>
  <si>
    <t>REGISTRO P/D DE ROSCAR 1-1/2", TIPO PESADO</t>
  </si>
  <si>
    <t>REGISTRO P/D DE ROSCAR 2-1/2", TIPO PESADO</t>
  </si>
  <si>
    <t>CHEQUE DE 2 1/2"</t>
  </si>
  <si>
    <t>CHEQUE DE 2"</t>
  </si>
  <si>
    <t>CHEQUE PERFORADO DE 1  1/2"</t>
  </si>
  <si>
    <t>UNIVERSAL DE  2 1/2"</t>
  </si>
  <si>
    <t>UNION FLEXIBLE BORRACHA 2"</t>
  </si>
  <si>
    <t>VALVULA DE PIE 2  1/2"</t>
  </si>
  <si>
    <t>MANOMETRO DIAL 2"</t>
  </si>
  <si>
    <t>BRIDA 2"</t>
  </si>
  <si>
    <t>MEDIDOR 1"</t>
  </si>
  <si>
    <t>TUBERIA PVC ALC 10"</t>
  </si>
  <si>
    <t>TUBERIA PVC ALC 8"</t>
  </si>
  <si>
    <t>TUBERIA PVC ALC 6"</t>
  </si>
  <si>
    <t>ACCESORIO PVC ALC 10"</t>
  </si>
  <si>
    <t>ACCESORIO PVC ALC 8"</t>
  </si>
  <si>
    <t>ACCESORIO PVC ALC 6"</t>
  </si>
  <si>
    <t>MARCO Y CONTRAMARCO C.I. 0.80 * 0.80</t>
  </si>
  <si>
    <t>TUBERIA POLIETILENO DE ALTA DENSIDAD 4"</t>
  </si>
  <si>
    <t>TUBERIA POLIETILENO DE ALTA DENSIDAD 3"</t>
  </si>
  <si>
    <t>TUBERIA DE ACERO NEGRO 3"</t>
  </si>
  <si>
    <t>ACCESORIO POLIETILENO DE ALTA DENSIDAD 4"</t>
  </si>
  <si>
    <t>ACCESORIO POLIETILENO DE ALTA DENSIDAD 3"</t>
  </si>
  <si>
    <t>ACCESORIO ACERO 3"</t>
  </si>
  <si>
    <t>TRANSICION PEAD-ACERO 4"</t>
  </si>
  <si>
    <t>TRANSICION PEAD-ACERO 3"</t>
  </si>
  <si>
    <t>CHEQUE PARA SIAMESA 4"</t>
  </si>
  <si>
    <t>SIAMESA 4"* 2 1/2" * 2  1/2"</t>
  </si>
  <si>
    <t>GABINETE TIPO II</t>
  </si>
  <si>
    <t>TANQUE DE GAS 100 LBS</t>
  </si>
  <si>
    <t>Equipo incendio (Q=15,75 l/s; CDT=75 mca; P=40 HP) Incluye: Bomba vertical, electrobomba Jockey, tableros electricos, cabezal de prueba y equipo diesel.</t>
  </si>
  <si>
    <t>FLOTADOR MECANICO 1"</t>
  </si>
  <si>
    <t>TUBERIA DE ACERO NEGRO 6"</t>
  </si>
  <si>
    <t>TUBERIA DE ACERO NEGRO 4"</t>
  </si>
  <si>
    <t>ACCESORIO ACERO 6"</t>
  </si>
  <si>
    <t>ACCESORIO ACERO 4"</t>
  </si>
  <si>
    <t>COUPLING 6"</t>
  </si>
  <si>
    <t>COUPLING 4"</t>
  </si>
  <si>
    <t>COUPLING 3"</t>
  </si>
  <si>
    <t>BRIDA 6"</t>
  </si>
  <si>
    <t>VALVULA DE ALIVIO 3"</t>
  </si>
  <si>
    <t>JUNTA FLEXOMETRICA 6"</t>
  </si>
  <si>
    <t>JUNTA FLEXOMETRICA 3"</t>
  </si>
  <si>
    <t>VALVULA DE MARIPOSA 6"</t>
  </si>
  <si>
    <t>VALVULA DE MARIPOSA 4"</t>
  </si>
  <si>
    <t>VALVULA DE MARIPOSA 3"</t>
  </si>
  <si>
    <t>CABEZAL DE PRUEBA 4"* 2 1/2" * 2  1/2"</t>
  </si>
  <si>
    <t>CHEQUE 6"</t>
  </si>
  <si>
    <t>CHEQUE 3"</t>
  </si>
  <si>
    <t>CHEQUE 3/4"</t>
  </si>
  <si>
    <t>UNIVERSAL DE  2"</t>
  </si>
  <si>
    <t>VALVULA DE PIE 2"</t>
  </si>
  <si>
    <t>TANQUE PLÁSTICO LÍNEA BAJA PARA ALMACENAMIENTO DE AGUA DE 500 LITROS</t>
  </si>
  <si>
    <t>CHEQUE DE 1  1/2"</t>
  </si>
  <si>
    <t>TUBERÍA ACERO NEGRO PARA RED DE COMBUSTIBLE 3/4"</t>
  </si>
  <si>
    <t>ACCESORIOS ACERO ROSCAR PARA RED DE COMBUSTIBLE 3/4"</t>
  </si>
  <si>
    <t>TUBERIA DE ACERO NEGRO 2"</t>
  </si>
  <si>
    <t>ACCESORIO ACERO 2"</t>
  </si>
  <si>
    <t>COUPLING 2"</t>
  </si>
  <si>
    <t>BRIDA 4"</t>
  </si>
  <si>
    <t>VALVULA DE ALIVIO 4"</t>
  </si>
  <si>
    <t>JUNTA FLEXOMETRICA 4"</t>
  </si>
  <si>
    <t>JUNTA FLEXOMETRICA 2"</t>
  </si>
  <si>
    <t>VALVULA DE MARIPOSA 2"</t>
  </si>
  <si>
    <t>CHEQUE 4"</t>
  </si>
  <si>
    <t>REGISTRO DE CORTE DE 1/2"</t>
  </si>
  <si>
    <t>CHEQUE 1/2"</t>
  </si>
  <si>
    <t>VENTANA EN LÁMINA COLD ROLLED CAL. 18, INCLUYE VIDRIO DE 4 mm</t>
  </si>
  <si>
    <t>MEDIDOR 1/2"</t>
  </si>
  <si>
    <t>TUBERIA DE ACERO NEGRO 2   1/2"</t>
  </si>
  <si>
    <t>TUBERIA DE ACERO NEGRO 1   1/2"</t>
  </si>
  <si>
    <t>ACCESORIO ACERO 1  1/2"</t>
  </si>
  <si>
    <t>COUPLING 2  1/2"</t>
  </si>
  <si>
    <t>COUPLING 1  1/2"</t>
  </si>
  <si>
    <t>BRIDA 3"</t>
  </si>
  <si>
    <t>VALVULA DE ALIVIO 2"</t>
  </si>
  <si>
    <t>GABINETES (CILINDROS DE GAS - CUERPO DE BOMBERO)</t>
  </si>
  <si>
    <t>LOSETA EN CONCRETO FUNDIDA EN SITIO</t>
  </si>
  <si>
    <t>CERRAMIENTO EN MALLA ESLABONADA GALVANIZADA 2"*2"</t>
  </si>
  <si>
    <t>VENTANA EN LAMINA COLD ROLLER PROYECTANTE EN VIDRIO, LAMINA COLD ROLLER CON ANTICORROSIVO Y ESMALTE COLOR GRIS ALUMINIO</t>
  </si>
  <si>
    <t>VENTANA EN LAMINA COLD ROLLER CON CUERPO FIJO EN PERSIANA, LAMINA COLD ROLLER CON ANTICORROSIVO Y ESMALTE COLOR GRIS ALUMINIO</t>
  </si>
  <si>
    <t>VENTANA EN LAMINA COLD ROLLER CON CUERPO FIJO EN VIDRIO, LAMINA COLD ROLLER CON ANTICORROSIVO Y ESMALTE COLOR GRIS ALUMINIO</t>
  </si>
  <si>
    <t>VENTANA EN LAMINA COLD ROLLER CON CUERPO INFERIOR EN VIDRIO FIJO Y CUERPO SUPERIOR EN PROYECTANTE, LAMINA COLD ROLLER CON ANTICORROSIVO Y ESMALTE COLOR GRIS ALUMINIO</t>
  </si>
  <si>
    <t>VENTANA EN LAMINA COLD ROLLER CON CUERPO INFERIOR EN VIDRIO FIJO Y CUERPO SUPERIOR EN VIDRIO FIJO, LAMINA COLD ROLLER CON ANTICORROSIVO Y ESMALTE COLOR GRIS ALUMINIO</t>
  </si>
  <si>
    <t>VENTANA EN LAMINA COLD ROLLER CON CUERPO INFERIOR EN PERSIANA Y CUERPO SUPERIOR EN PROYECTANTE, LAMINA COLD ROLLER CON ANTICORROSIVO Y ESMALTE COLOR GRIS ALUMINIO</t>
  </si>
  <si>
    <t>VENTANA EN LAMINA COLD ROLLER CON CUERPO INFERIOR EN PERSIANA Y CUERPO SUPERIOR EN VIDRIO FIJO, LAMINA COLD ROLLER CON ANTICORROSIVO Y ESMALTE COLOR GRIS ALUMINIO</t>
  </si>
  <si>
    <t>ELEMENTOS DE FIJACION CUBIERTA</t>
  </si>
  <si>
    <t>REMATE  LATERAL CINDU COD 1950 O SIMILAR</t>
  </si>
  <si>
    <t>GUARDAESCOBAS EN LOSETA INDUSTRIAL ALFA COLOR 225005696. 24,5*9CM</t>
  </si>
  <si>
    <t>GUARDAESCOBAS  EN TABLETA DE GRES DE 18,5*9CM TIPO ROMANA ALFAGRES COLOR COTTO</t>
  </si>
  <si>
    <t>VENTILADOR DE PARED K-VPAR16 KALLEY O EQUIVALENTE</t>
  </si>
  <si>
    <t>REJILLA DE VENTILACION 120 CM2</t>
  </si>
  <si>
    <t>CAJILLA PARA CHEQUE</t>
  </si>
  <si>
    <t>SILICONA LIQUIDA</t>
  </si>
  <si>
    <t>VALVULA DE LLENADO PARA CARRO TANQUE 3/4</t>
  </si>
  <si>
    <t>ACCESORIO RAN UL/FM Ø= 3/4"</t>
  </si>
  <si>
    <t>TUBO ACERO CSC SCH 40 - 3/4"</t>
  </si>
  <si>
    <t>NIPLE 2"</t>
  </si>
  <si>
    <t>UNION FLEXIBLE BORRACHA 3/4"</t>
  </si>
  <si>
    <t>VENTOSA  1/2"</t>
  </si>
  <si>
    <t>BRIDA 1  1/2"</t>
  </si>
  <si>
    <t>CABEZAL DE PRUEBA 3"* 2 1/2" * 2  1/2"</t>
  </si>
  <si>
    <t>ALAMBRE GALVANIZADO Nº 12</t>
  </si>
  <si>
    <t>TANQUE PLÁSTICO LÍNEA BAJA PARA ALMACENAMIENTO DE AGUA DE 5000 LITROS</t>
  </si>
  <si>
    <t>REGULADOR SEGUNDA ETAPA</t>
  </si>
  <si>
    <t>ACCESORIOS  POLIETILENO DE ALTA DENSIDAD 1/2"</t>
  </si>
  <si>
    <t>TUBERIA POLIETILENO DE ALTA DENSIDAD 1/2"</t>
  </si>
  <si>
    <t>TANQUE HIDROACUMULADOR</t>
  </si>
  <si>
    <t>BOMBA JOCKEY</t>
  </si>
  <si>
    <t xml:space="preserve">MECHERO BUNSEN </t>
  </si>
  <si>
    <t>EQUIPO DE BOMBEO SUMERGIBLE SISTEMA DE RIEGO</t>
  </si>
  <si>
    <t>CHEQUE DE 1  1/4"</t>
  </si>
  <si>
    <t>UNIVERSAL DE  1  1/4"</t>
  </si>
  <si>
    <t>TUBERIA PERFORADA PVCP  1"</t>
  </si>
  <si>
    <t>VALVULA DE PIE 4"</t>
  </si>
  <si>
    <t>PISO LOSETA INDUSTRIAL ALFA 24,5*12 COLOR 225005696</t>
  </si>
  <si>
    <t>REMATE CONTRAMURO LATERAL SUPERIOR CINDU COD 1926 O SIMILAR</t>
  </si>
  <si>
    <t>LIMAHOYA LISA CINDU COD. 1933 O SIMILAR</t>
  </si>
  <si>
    <t>PLATA POTABILIZADORA</t>
  </si>
  <si>
    <t>CABEZAL DE PRUEBA 2"* 2 1/2" * 2  1/2"</t>
  </si>
  <si>
    <t>SIAMESA 3"* 2 1/2" * 2  1/2"</t>
  </si>
  <si>
    <t>CHEQUE PARA SIAMESA 3"</t>
  </si>
  <si>
    <t>VALVULA DE MARIPOSA 2  1/2"</t>
  </si>
  <si>
    <t>JUNTA FLEXOMETRICA 2  1/2"</t>
  </si>
  <si>
    <t>ACCESORIO ACERO 2 1/2"</t>
  </si>
  <si>
    <t>TOMA FIJA BOMBEROS</t>
  </si>
  <si>
    <t>BRIDA 2  1/2"</t>
  </si>
  <si>
    <t>UNION FLEXIBLE BORRACHA 2  1/2"</t>
  </si>
  <si>
    <t>VALVULA DE PIE 1  1/2"</t>
  </si>
  <si>
    <t>UNION FLEXIBLE BORRACHA 1  1/2"</t>
  </si>
  <si>
    <t>UNIVERSAL DE  1  1/2"</t>
  </si>
  <si>
    <t>CHEQUE PERFORADO DE 1"</t>
  </si>
  <si>
    <t>NIPLE 1"</t>
  </si>
  <si>
    <t>GRAVA PARA FILTRO</t>
  </si>
  <si>
    <t>GEOTEXTIL NT1600 DE PAVCO O SIMILAR</t>
  </si>
  <si>
    <t>TUBERIA PVC CORRUGADA 6"</t>
  </si>
  <si>
    <t>VALVULA DE PIE 3/4"</t>
  </si>
  <si>
    <t>UNIVERSAL DE  3/4"</t>
  </si>
  <si>
    <t>VALVULA DE PIE 1"</t>
  </si>
  <si>
    <t>UNION FLEXIBLE BORRACHA 1"</t>
  </si>
  <si>
    <t>UNIVERSAL DE  1"</t>
  </si>
  <si>
    <t>CICLOPARQUEADERO M-100 O SIMILAR</t>
  </si>
  <si>
    <t>ELEMENTOS DE FIJACION GEOMALLLA</t>
  </si>
  <si>
    <t>GEOMALLA DE REFUERZO FOTGRID</t>
  </si>
  <si>
    <t>COUPLING 3/4"</t>
  </si>
  <si>
    <t>NIPLE 1/2"</t>
  </si>
  <si>
    <t>MEDIDOR 3/4"</t>
  </si>
  <si>
    <t>CONCRETO 28 Mpa (4000 PSI)</t>
  </si>
  <si>
    <t xml:space="preserve">GRIFERIA ORINAL A PARED TIPO PUSH ENTRADA 1/2 CROMO DE CORONA </t>
  </si>
  <si>
    <t>LISTADO DE EQUIPOS</t>
  </si>
  <si>
    <t>DÌA</t>
  </si>
  <si>
    <t>FORMALETA DE ENTREPISO (M2 POR MES)</t>
  </si>
  <si>
    <t>HERRAMIENTA MENOR</t>
  </si>
  <si>
    <t>MEZCLADORA 1 BT CON MOTOR A GASOLINA DE 9 HP O SIMILAR</t>
  </si>
  <si>
    <t>RETROEXCAVADORA KOMATSU WB-140 O SIMILAR</t>
  </si>
  <si>
    <t>VIBRADOR ELÉCTRICO M2000 O SIMILAR</t>
  </si>
  <si>
    <t>DÍA</t>
  </si>
  <si>
    <t>VIBROCOMPACTADOR (RANA) 8 HP, 500 VIBRACIONES POR MINUTO</t>
  </si>
  <si>
    <t xml:space="preserve">LISTADO DE TRANSPORTE </t>
  </si>
  <si>
    <t>VOLQUETA 6 M3 CON CARGUE</t>
  </si>
  <si>
    <t>HR</t>
  </si>
  <si>
    <t xml:space="preserve">LISTADO DE MANO DE OBRA </t>
  </si>
  <si>
    <t xml:space="preserve">Vr. prestaciones </t>
  </si>
  <si>
    <t>Vr total</t>
  </si>
  <si>
    <t>Vr hora</t>
  </si>
  <si>
    <t>CUADRILLA ALB 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</si>
</sst>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&quot;$&quot;\ * #,##0_-;\-&quot;$&quot;\ * #,##0_-;_-&quot;$&quot;\ * &quot;-&quot;_-;_-@_-"/>
    <numFmt numFmtId="165" formatCode="_-&quot;$&quot;\ * #,##0.00_-;\-&quot;$&quot;\ * #,##0.00_-;_-&quot;$&quot;\ * &quot;-&quot;??_-;_-@_-"/>
    <numFmt numFmtId="166" formatCode="_ * #,##0.00_ ;_ * \-#,##0.00_ ;_ * &quot;-&quot;??_ ;_ @_ "/>
    <numFmt numFmtId="167" formatCode="#,##0.00_);\-#,##0.00"/>
    <numFmt numFmtId="168" formatCode="&quot;$&quot;\ #,##0"/>
    <numFmt numFmtId="169" formatCode="_-&quot;$&quot;\ * #,##0_-;\-&quot;$&quot;\ * #,##0_-;_-&quot;$&quot;\ * &quot;-&quot;??_-;_-@_-"/>
    <numFmt numFmtId="170" formatCode="_(&quot;$&quot;\ * #,##0.00_);_(&quot;$&quot;\ * \(#,##0.00\);_(&quot;$&quot;\ * &quot;-&quot;??_);_(@_)"/>
    <numFmt numFmtId="171" formatCode="&quot;$&quot;\ #,##0.00"/>
    <numFmt numFmtId="172" formatCode="0.000"/>
    <numFmt numFmtId="173" formatCode="0.0"/>
    <numFmt numFmtId="174" formatCode="0.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color indexed="8"/>
      <name val="Times New Roman"/>
      <family val="1"/>
    </font>
    <font>
      <sz val="8"/>
      <color indexed="8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8"/>
      <color theme="1"/>
      <name val="Times New Roman"/>
      <family val="1"/>
    </font>
    <font>
      <b/>
      <sz val="8"/>
      <color rgb="FFFF0000"/>
      <name val="Times New Roman"/>
      <family val="1"/>
    </font>
    <font>
      <sz val="10"/>
      <color indexed="8"/>
      <name val="MS Sans Serif"/>
      <family val="2"/>
    </font>
    <font>
      <b/>
      <sz val="8"/>
      <name val="Times New Roman"/>
      <family val="1"/>
    </font>
    <font>
      <sz val="8"/>
      <color rgb="FFFF0000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0" fontId="13" fillId="0" borderId="0"/>
    <xf numFmtId="43" fontId="1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0">
    <xf numFmtId="0" fontId="0" fillId="0" borderId="0" xfId="0"/>
    <xf numFmtId="0" fontId="5" fillId="0" borderId="1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166" fontId="4" fillId="0" borderId="3" xfId="6" applyNumberFormat="1" applyFont="1" applyBorder="1" applyAlignment="1">
      <alignment horizontal="right" vertical="center"/>
    </xf>
    <xf numFmtId="166" fontId="5" fillId="0" borderId="4" xfId="6" applyNumberFormat="1" applyFont="1" applyBorder="1" applyAlignment="1">
      <alignment horizontal="right" vertical="center"/>
    </xf>
    <xf numFmtId="0" fontId="5" fillId="0" borderId="5" xfId="5" applyFont="1" applyBorder="1" applyAlignment="1">
      <alignment horizontal="center" vertical="center"/>
    </xf>
    <xf numFmtId="166" fontId="5" fillId="0" borderId="6" xfId="6" applyNumberFormat="1" applyFont="1" applyBorder="1" applyAlignment="1">
      <alignment horizontal="right" vertical="center"/>
    </xf>
    <xf numFmtId="0" fontId="9" fillId="0" borderId="0" xfId="0" applyFont="1"/>
    <xf numFmtId="0" fontId="4" fillId="0" borderId="11" xfId="5" applyFont="1" applyBorder="1" applyAlignment="1">
      <alignment horizontal="center" vertical="center"/>
    </xf>
    <xf numFmtId="0" fontId="5" fillId="0" borderId="12" xfId="5" applyFont="1" applyBorder="1" applyAlignment="1">
      <alignment horizontal="left" vertical="center"/>
    </xf>
    <xf numFmtId="0" fontId="5" fillId="0" borderId="13" xfId="5" applyFont="1" applyBorder="1" applyAlignment="1">
      <alignment horizontal="left" vertical="center"/>
    </xf>
    <xf numFmtId="0" fontId="5" fillId="0" borderId="12" xfId="5" applyFont="1" applyBorder="1" applyAlignment="1">
      <alignment horizontal="left" vertical="center" wrapText="1"/>
    </xf>
    <xf numFmtId="166" fontId="5" fillId="0" borderId="4" xfId="4" applyNumberFormat="1" applyFont="1" applyBorder="1" applyAlignment="1">
      <alignment horizontal="right" vertical="center"/>
    </xf>
    <xf numFmtId="0" fontId="6" fillId="0" borderId="12" xfId="5" applyFont="1" applyBorder="1" applyAlignment="1">
      <alignment vertical="center" wrapText="1"/>
    </xf>
    <xf numFmtId="0" fontId="5" fillId="0" borderId="13" xfId="5" applyFont="1" applyBorder="1" applyAlignment="1">
      <alignment horizontal="left" vertical="center" wrapText="1"/>
    </xf>
    <xf numFmtId="166" fontId="5" fillId="0" borderId="6" xfId="4" applyNumberFormat="1" applyFont="1" applyBorder="1" applyAlignment="1">
      <alignment horizontal="right" vertical="center"/>
    </xf>
    <xf numFmtId="0" fontId="4" fillId="0" borderId="14" xfId="5" applyFont="1" applyBorder="1" applyAlignment="1">
      <alignment horizontal="center" vertical="center" wrapText="1"/>
    </xf>
    <xf numFmtId="0" fontId="4" fillId="0" borderId="15" xfId="5" applyFont="1" applyBorder="1" applyAlignment="1">
      <alignment horizontal="center" vertical="center"/>
    </xf>
    <xf numFmtId="166" fontId="4" fillId="0" borderId="16" xfId="4" applyNumberFormat="1" applyFont="1" applyBorder="1" applyAlignment="1">
      <alignment horizontal="right" vertical="center"/>
    </xf>
    <xf numFmtId="0" fontId="5" fillId="0" borderId="17" xfId="5" applyFont="1" applyBorder="1" applyAlignment="1">
      <alignment horizontal="left" vertical="center" wrapText="1"/>
    </xf>
    <xf numFmtId="166" fontId="5" fillId="0" borderId="18" xfId="4" applyNumberFormat="1" applyFont="1" applyBorder="1" applyAlignment="1">
      <alignment horizontal="right" vertical="center"/>
    </xf>
    <xf numFmtId="167" fontId="5" fillId="0" borderId="6" xfId="5" applyNumberFormat="1" applyFont="1" applyBorder="1" applyAlignment="1">
      <alignment horizontal="right" vertical="center"/>
    </xf>
    <xf numFmtId="0" fontId="4" fillId="0" borderId="14" xfId="5" applyFont="1" applyBorder="1" applyAlignment="1">
      <alignment horizontal="center" vertical="center"/>
    </xf>
    <xf numFmtId="0" fontId="4" fillId="0" borderId="16" xfId="5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168" fontId="9" fillId="0" borderId="1" xfId="0" applyNumberFormat="1" applyFont="1" applyBorder="1" applyAlignment="1">
      <alignment horizontal="center" vertical="center" wrapText="1"/>
    </xf>
    <xf numFmtId="168" fontId="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1" fillId="0" borderId="1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65" fontId="9" fillId="0" borderId="4" xfId="1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165" fontId="11" fillId="0" borderId="4" xfId="1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69" fontId="12" fillId="0" borderId="4" xfId="1" applyNumberFormat="1" applyFont="1" applyBorder="1" applyAlignment="1">
      <alignment horizontal="center" vertical="center" wrapText="1"/>
    </xf>
    <xf numFmtId="0" fontId="0" fillId="0" borderId="3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34" xfId="0" applyBorder="1" applyAlignment="1">
      <alignment wrapText="1"/>
    </xf>
    <xf numFmtId="1" fontId="9" fillId="0" borderId="26" xfId="0" applyNumberFormat="1" applyFont="1" applyBorder="1" applyAlignment="1">
      <alignment horizontal="center" vertical="center" wrapText="1"/>
    </xf>
    <xf numFmtId="0" fontId="5" fillId="0" borderId="12" xfId="5" applyFont="1" applyBorder="1" applyAlignment="1">
      <alignment horizontal="center" vertical="center"/>
    </xf>
    <xf numFmtId="168" fontId="5" fillId="0" borderId="1" xfId="5" applyNumberFormat="1" applyFont="1" applyBorder="1" applyAlignment="1">
      <alignment horizontal="center" vertical="center"/>
    </xf>
    <xf numFmtId="168" fontId="5" fillId="0" borderId="4" xfId="5" applyNumberFormat="1" applyFont="1" applyBorder="1" applyAlignment="1">
      <alignment horizontal="center" vertical="center"/>
    </xf>
    <xf numFmtId="0" fontId="5" fillId="0" borderId="13" xfId="5" applyFont="1" applyBorder="1" applyAlignment="1">
      <alignment horizontal="center" vertical="center"/>
    </xf>
    <xf numFmtId="168" fontId="5" fillId="0" borderId="5" xfId="5" applyNumberFormat="1" applyFont="1" applyBorder="1" applyAlignment="1">
      <alignment horizontal="center" vertical="center"/>
    </xf>
    <xf numFmtId="168" fontId="5" fillId="0" borderId="6" xfId="5" applyNumberFormat="1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9" fillId="0" borderId="1" xfId="0" applyFont="1" applyBorder="1" applyAlignment="1">
      <alignment horizontal="left" wrapText="1"/>
    </xf>
    <xf numFmtId="168" fontId="9" fillId="0" borderId="0" xfId="0" applyNumberFormat="1" applyFont="1" applyAlignment="1">
      <alignment wrapText="1"/>
    </xf>
    <xf numFmtId="168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2" fontId="9" fillId="0" borderId="26" xfId="0" applyNumberFormat="1" applyFont="1" applyBorder="1" applyAlignment="1">
      <alignment horizontal="center" vertical="center" wrapText="1"/>
    </xf>
    <xf numFmtId="0" fontId="14" fillId="0" borderId="37" xfId="7" applyFont="1" applyBorder="1" applyAlignment="1" applyProtection="1">
      <alignment horizontal="center" vertical="center" wrapText="1"/>
      <protection hidden="1"/>
    </xf>
    <xf numFmtId="0" fontId="14" fillId="0" borderId="38" xfId="7" applyFont="1" applyBorder="1" applyAlignment="1" applyProtection="1">
      <alignment horizontal="center" vertical="center" wrapText="1"/>
      <protection hidden="1"/>
    </xf>
    <xf numFmtId="43" fontId="14" fillId="0" borderId="38" xfId="8" applyFont="1" applyBorder="1" applyAlignment="1" applyProtection="1">
      <alignment horizontal="center" vertical="center" wrapText="1"/>
      <protection hidden="1"/>
    </xf>
    <xf numFmtId="168" fontId="14" fillId="0" borderId="38" xfId="9" applyNumberFormat="1" applyFont="1" applyBorder="1" applyAlignment="1" applyProtection="1">
      <alignment horizontal="center" vertical="center" wrapText="1"/>
      <protection hidden="1"/>
    </xf>
    <xf numFmtId="170" fontId="14" fillId="0" borderId="39" xfId="9" applyFont="1" applyBorder="1" applyAlignment="1" applyProtection="1">
      <alignment horizontal="center" vertical="center" wrapText="1"/>
      <protection hidden="1"/>
    </xf>
    <xf numFmtId="168" fontId="11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horizontal="center" vertical="center" wrapText="1"/>
    </xf>
    <xf numFmtId="171" fontId="9" fillId="0" borderId="1" xfId="0" applyNumberFormat="1" applyFont="1" applyBorder="1" applyAlignment="1">
      <alignment horizontal="center" vertical="center" wrapText="1"/>
    </xf>
    <xf numFmtId="171" fontId="11" fillId="0" borderId="1" xfId="0" applyNumberFormat="1" applyFont="1" applyBorder="1" applyAlignment="1">
      <alignment horizontal="center" vertical="center" wrapText="1"/>
    </xf>
    <xf numFmtId="171" fontId="9" fillId="0" borderId="1" xfId="1" applyNumberFormat="1" applyFont="1" applyBorder="1" applyAlignment="1">
      <alignment horizontal="center" vertical="center" wrapText="1"/>
    </xf>
    <xf numFmtId="171" fontId="9" fillId="0" borderId="0" xfId="0" applyNumberFormat="1" applyFont="1" applyAlignment="1">
      <alignment horizontal="center" vertical="center" wrapText="1"/>
    </xf>
    <xf numFmtId="171" fontId="9" fillId="0" borderId="1" xfId="2" applyNumberFormat="1" applyFont="1" applyBorder="1" applyAlignment="1">
      <alignment horizontal="center" vertical="center" wrapText="1"/>
    </xf>
    <xf numFmtId="171" fontId="11" fillId="2" borderId="1" xfId="0" applyNumberFormat="1" applyFont="1" applyFill="1" applyBorder="1" applyAlignment="1">
      <alignment horizontal="center" vertical="center" wrapText="1"/>
    </xf>
    <xf numFmtId="171" fontId="0" fillId="0" borderId="0" xfId="0" applyNumberFormat="1" applyAlignment="1">
      <alignment horizontal="center" wrapText="1"/>
    </xf>
    <xf numFmtId="171" fontId="0" fillId="0" borderId="7" xfId="0" applyNumberFormat="1" applyBorder="1" applyAlignment="1">
      <alignment horizontal="center" wrapText="1"/>
    </xf>
    <xf numFmtId="171" fontId="0" fillId="3" borderId="0" xfId="0" applyNumberFormat="1" applyFill="1" applyAlignment="1">
      <alignment horizontal="center" wrapText="1"/>
    </xf>
    <xf numFmtId="171" fontId="11" fillId="0" borderId="1" xfId="0" applyNumberFormat="1" applyFont="1" applyBorder="1" applyAlignment="1">
      <alignment wrapText="1"/>
    </xf>
    <xf numFmtId="10" fontId="9" fillId="0" borderId="1" xfId="0" applyNumberFormat="1" applyFont="1" applyBorder="1" applyAlignment="1">
      <alignment vertical="center" wrapText="1"/>
    </xf>
    <xf numFmtId="9" fontId="9" fillId="0" borderId="1" xfId="0" applyNumberFormat="1" applyFont="1" applyBorder="1" applyAlignment="1">
      <alignment vertical="center" wrapText="1"/>
    </xf>
    <xf numFmtId="172" fontId="9" fillId="0" borderId="1" xfId="2" applyNumberFormat="1" applyFont="1" applyBorder="1" applyAlignment="1">
      <alignment horizontal="center" vertical="center" wrapText="1"/>
    </xf>
    <xf numFmtId="43" fontId="0" fillId="0" borderId="0" xfId="0" applyNumberFormat="1"/>
    <xf numFmtId="0" fontId="9" fillId="0" borderId="35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2" fontId="9" fillId="0" borderId="15" xfId="2" applyNumberFormat="1" applyFont="1" applyBorder="1" applyAlignment="1">
      <alignment horizontal="center" vertical="center" wrapText="1"/>
    </xf>
    <xf numFmtId="165" fontId="9" fillId="0" borderId="30" xfId="1" applyFont="1" applyBorder="1" applyAlignment="1">
      <alignment horizontal="center" vertical="center" wrapText="1"/>
    </xf>
    <xf numFmtId="168" fontId="5" fillId="0" borderId="35" xfId="5" applyNumberFormat="1" applyFont="1" applyBorder="1" applyAlignment="1">
      <alignment horizontal="center" vertical="center"/>
    </xf>
    <xf numFmtId="168" fontId="5" fillId="0" borderId="42" xfId="5" applyNumberFormat="1" applyFont="1" applyBorder="1" applyAlignment="1">
      <alignment horizontal="center" vertical="center"/>
    </xf>
    <xf numFmtId="0" fontId="4" fillId="0" borderId="15" xfId="5" applyFont="1" applyBorder="1" applyAlignment="1">
      <alignment horizontal="center" vertical="center" wrapText="1"/>
    </xf>
    <xf numFmtId="0" fontId="4" fillId="0" borderId="36" xfId="5" applyFont="1" applyBorder="1" applyAlignment="1">
      <alignment horizontal="center" vertical="center"/>
    </xf>
    <xf numFmtId="0" fontId="4" fillId="0" borderId="16" xfId="5" applyFont="1" applyBorder="1" applyAlignment="1">
      <alignment horizontal="center" vertical="center"/>
    </xf>
    <xf numFmtId="168" fontId="9" fillId="0" borderId="1" xfId="1" applyNumberFormat="1" applyFont="1" applyBorder="1" applyAlignment="1">
      <alignment horizontal="center" vertical="center" wrapText="1"/>
    </xf>
    <xf numFmtId="173" fontId="9" fillId="0" borderId="1" xfId="0" applyNumberFormat="1" applyFont="1" applyBorder="1" applyAlignment="1">
      <alignment horizontal="center" vertical="center" wrapText="1"/>
    </xf>
    <xf numFmtId="174" fontId="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1" fontId="0" fillId="0" borderId="0" xfId="0" applyNumberFormat="1"/>
    <xf numFmtId="171" fontId="0" fillId="0" borderId="0" xfId="0" applyNumberFormat="1" applyAlignment="1">
      <alignment horizontal="center" vertical="center"/>
    </xf>
    <xf numFmtId="165" fontId="9" fillId="0" borderId="1" xfId="1" applyFont="1" applyBorder="1" applyAlignment="1">
      <alignment horizontal="center" vertical="center" wrapText="1"/>
    </xf>
    <xf numFmtId="9" fontId="9" fillId="0" borderId="1" xfId="13" applyFont="1" applyBorder="1" applyAlignment="1">
      <alignment horizontal="center" vertical="center" wrapText="1"/>
    </xf>
    <xf numFmtId="169" fontId="9" fillId="0" borderId="1" xfId="1" applyNumberFormat="1" applyFont="1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/>
    </xf>
    <xf numFmtId="169" fontId="9" fillId="0" borderId="0" xfId="1" applyNumberFormat="1" applyFont="1" applyBorder="1" applyAlignment="1">
      <alignment horizontal="center" vertical="center" wrapText="1"/>
    </xf>
    <xf numFmtId="169" fontId="0" fillId="0" borderId="0" xfId="0" applyNumberFormat="1"/>
    <xf numFmtId="168" fontId="9" fillId="0" borderId="1" xfId="0" applyNumberFormat="1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168" fontId="9" fillId="0" borderId="1" xfId="0" applyNumberFormat="1" applyFont="1" applyBorder="1" applyAlignment="1">
      <alignment horizontal="right" vertical="center" wrapText="1"/>
    </xf>
    <xf numFmtId="168" fontId="11" fillId="0" borderId="0" xfId="0" applyNumberFormat="1" applyFont="1" applyAlignment="1">
      <alignment horizontal="center" vertical="center" wrapText="1"/>
    </xf>
    <xf numFmtId="171" fontId="11" fillId="2" borderId="1" xfId="0" applyNumberFormat="1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9" fontId="11" fillId="2" borderId="1" xfId="13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9" fontId="11" fillId="2" borderId="41" xfId="13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wrapText="1"/>
    </xf>
    <xf numFmtId="0" fontId="14" fillId="0" borderId="43" xfId="7" applyFont="1" applyBorder="1" applyAlignment="1" applyProtection="1">
      <alignment horizontal="center" vertical="center" wrapText="1"/>
      <protection hidden="1"/>
    </xf>
    <xf numFmtId="43" fontId="14" fillId="0" borderId="43" xfId="8" applyFont="1" applyBorder="1" applyAlignment="1" applyProtection="1">
      <alignment horizontal="center" vertical="center" wrapText="1"/>
      <protection hidden="1"/>
    </xf>
    <xf numFmtId="171" fontId="14" fillId="0" borderId="44" xfId="9" applyNumberFormat="1" applyFont="1" applyBorder="1" applyAlignment="1" applyProtection="1">
      <alignment horizontal="center" vertical="center" wrapText="1"/>
      <protection hidden="1"/>
    </xf>
    <xf numFmtId="168" fontId="11" fillId="4" borderId="1" xfId="0" applyNumberFormat="1" applyFont="1" applyFill="1" applyBorder="1" applyAlignment="1">
      <alignment wrapText="1"/>
    </xf>
    <xf numFmtId="168" fontId="11" fillId="5" borderId="1" xfId="0" applyNumberFormat="1" applyFont="1" applyFill="1" applyBorder="1" applyAlignment="1">
      <alignment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41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168" fontId="11" fillId="4" borderId="1" xfId="0" applyNumberFormat="1" applyFont="1" applyFill="1" applyBorder="1" applyAlignment="1">
      <alignment horizontal="center" vertical="center" wrapText="1"/>
    </xf>
    <xf numFmtId="169" fontId="9" fillId="4" borderId="1" xfId="1" applyNumberFormat="1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30" xfId="0" applyFont="1" applyFill="1" applyBorder="1" applyAlignment="1">
      <alignment horizontal="left" vertical="center" wrapText="1"/>
    </xf>
    <xf numFmtId="0" fontId="6" fillId="0" borderId="12" xfId="5" applyFont="1" applyBorder="1" applyAlignment="1">
      <alignment horizontal="center" vertical="center" wrapText="1"/>
    </xf>
    <xf numFmtId="0" fontId="6" fillId="0" borderId="1" xfId="5" applyFont="1" applyBorder="1" applyAlignment="1">
      <alignment horizontal="center" vertical="center" wrapText="1"/>
    </xf>
    <xf numFmtId="0" fontId="6" fillId="0" borderId="12" xfId="5" applyFont="1" applyBorder="1" applyAlignment="1">
      <alignment horizontal="center" vertical="center"/>
    </xf>
    <xf numFmtId="0" fontId="6" fillId="0" borderId="1" xfId="5" applyFont="1" applyBorder="1" applyAlignment="1">
      <alignment horizontal="center" vertical="center"/>
    </xf>
    <xf numFmtId="0" fontId="6" fillId="0" borderId="29" xfId="5" applyFont="1" applyBorder="1" applyAlignment="1">
      <alignment horizontal="center" vertical="center" wrapText="1"/>
    </xf>
    <xf numFmtId="0" fontId="6" fillId="0" borderId="19" xfId="5" applyFont="1" applyBorder="1" applyAlignment="1">
      <alignment horizontal="center" vertical="center" wrapText="1"/>
    </xf>
    <xf numFmtId="0" fontId="6" fillId="0" borderId="20" xfId="5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31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0" borderId="29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7" fillId="0" borderId="32" xfId="3" applyFont="1" applyBorder="1" applyAlignment="1">
      <alignment horizontal="center" vertical="center" wrapText="1"/>
    </xf>
    <xf numFmtId="0" fontId="7" fillId="0" borderId="23" xfId="3" applyFont="1" applyBorder="1" applyAlignment="1">
      <alignment horizontal="center" vertical="center" wrapText="1"/>
    </xf>
    <xf numFmtId="0" fontId="7" fillId="0" borderId="24" xfId="3" applyFont="1" applyBorder="1" applyAlignment="1">
      <alignment horizontal="center" vertical="center" wrapText="1"/>
    </xf>
    <xf numFmtId="0" fontId="7" fillId="0" borderId="33" xfId="3" applyFont="1" applyBorder="1" applyAlignment="1">
      <alignment horizontal="center" vertical="center" wrapText="1"/>
    </xf>
    <xf numFmtId="0" fontId="7" fillId="0" borderId="7" xfId="3" applyFont="1" applyBorder="1" applyAlignment="1">
      <alignment horizontal="center" vertical="center" wrapText="1"/>
    </xf>
    <xf numFmtId="0" fontId="7" fillId="0" borderId="34" xfId="3" applyFont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wrapText="1"/>
    </xf>
    <xf numFmtId="0" fontId="11" fillId="2" borderId="38" xfId="0" applyFont="1" applyFill="1" applyBorder="1" applyAlignment="1">
      <alignment horizontal="center" wrapText="1"/>
    </xf>
    <xf numFmtId="0" fontId="11" fillId="2" borderId="39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168" fontId="11" fillId="2" borderId="1" xfId="0" applyNumberFormat="1" applyFont="1" applyFill="1" applyBorder="1" applyAlignment="1">
      <alignment horizontal="right" vertical="center" wrapText="1"/>
    </xf>
    <xf numFmtId="0" fontId="14" fillId="0" borderId="32" xfId="3" applyFont="1" applyBorder="1" applyAlignment="1">
      <alignment horizontal="center" vertical="center" wrapText="1"/>
    </xf>
    <xf numFmtId="0" fontId="14" fillId="0" borderId="23" xfId="3" applyFont="1" applyBorder="1" applyAlignment="1">
      <alignment horizontal="center" vertical="center" wrapText="1"/>
    </xf>
    <xf numFmtId="0" fontId="14" fillId="0" borderId="24" xfId="3" applyFont="1" applyBorder="1" applyAlignment="1">
      <alignment horizontal="center" vertical="center" wrapText="1"/>
    </xf>
    <xf numFmtId="0" fontId="14" fillId="0" borderId="33" xfId="3" applyFont="1" applyBorder="1" applyAlignment="1">
      <alignment horizontal="center" vertical="center" wrapText="1"/>
    </xf>
    <xf numFmtId="0" fontId="14" fillId="0" borderId="7" xfId="3" applyFont="1" applyBorder="1" applyAlignment="1">
      <alignment horizontal="center" vertical="center" wrapText="1"/>
    </xf>
    <xf numFmtId="0" fontId="14" fillId="0" borderId="34" xfId="3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right" wrapText="1"/>
    </xf>
    <xf numFmtId="0" fontId="11" fillId="2" borderId="35" xfId="0" applyFont="1" applyFill="1" applyBorder="1" applyAlignment="1">
      <alignment horizontal="left" wrapText="1"/>
    </xf>
    <xf numFmtId="0" fontId="11" fillId="2" borderId="19" xfId="0" applyFont="1" applyFill="1" applyBorder="1" applyAlignment="1">
      <alignment horizontal="left" wrapText="1"/>
    </xf>
    <xf numFmtId="0" fontId="11" fillId="2" borderId="20" xfId="0" applyFont="1" applyFill="1" applyBorder="1" applyAlignment="1">
      <alignment horizontal="left" wrapText="1"/>
    </xf>
    <xf numFmtId="0" fontId="11" fillId="2" borderId="31" xfId="0" applyFont="1" applyFill="1" applyBorder="1" applyAlignment="1">
      <alignment horizontal="left" wrapText="1"/>
    </xf>
    <xf numFmtId="0" fontId="11" fillId="2" borderId="21" xfId="0" applyFont="1" applyFill="1" applyBorder="1" applyAlignment="1">
      <alignment horizontal="left" wrapText="1"/>
    </xf>
    <xf numFmtId="0" fontId="11" fillId="2" borderId="40" xfId="0" applyFont="1" applyFill="1" applyBorder="1" applyAlignment="1">
      <alignment horizontal="left" wrapText="1"/>
    </xf>
    <xf numFmtId="169" fontId="16" fillId="4" borderId="35" xfId="1" applyNumberFormat="1" applyFont="1" applyFill="1" applyBorder="1" applyAlignment="1">
      <alignment horizontal="center" vertical="center" wrapText="1"/>
    </xf>
    <xf numFmtId="169" fontId="16" fillId="4" borderId="20" xfId="1" applyNumberFormat="1" applyFont="1" applyFill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7" fillId="0" borderId="13" xfId="3" applyFont="1" applyBorder="1" applyAlignment="1">
      <alignment horizontal="center" vertical="center" wrapText="1"/>
    </xf>
    <xf numFmtId="0" fontId="7" fillId="0" borderId="5" xfId="3" applyFont="1" applyBorder="1" applyAlignment="1">
      <alignment horizontal="center" vertical="center" wrapText="1"/>
    </xf>
    <xf numFmtId="0" fontId="7" fillId="0" borderId="6" xfId="3" applyFont="1" applyBorder="1" applyAlignment="1">
      <alignment horizontal="center" vertical="center" wrapText="1"/>
    </xf>
    <xf numFmtId="0" fontId="10" fillId="0" borderId="8" xfId="5" applyFont="1" applyBorder="1" applyAlignment="1">
      <alignment horizontal="center" vertical="center"/>
    </xf>
    <xf numFmtId="0" fontId="10" fillId="0" borderId="9" xfId="5" applyFont="1" applyBorder="1" applyAlignment="1">
      <alignment horizontal="center" vertical="center"/>
    </xf>
    <xf numFmtId="0" fontId="10" fillId="0" borderId="10" xfId="5" applyFont="1" applyBorder="1" applyAlignment="1">
      <alignment horizontal="center" vertical="center"/>
    </xf>
    <xf numFmtId="0" fontId="10" fillId="0" borderId="11" xfId="5" applyFont="1" applyBorder="1" applyAlignment="1">
      <alignment horizontal="center" vertical="center"/>
    </xf>
    <xf numFmtId="0" fontId="10" fillId="0" borderId="2" xfId="5" applyFont="1" applyBorder="1" applyAlignment="1">
      <alignment horizontal="center" vertical="center"/>
    </xf>
    <xf numFmtId="0" fontId="10" fillId="0" borderId="3" xfId="5" applyFont="1" applyBorder="1" applyAlignment="1">
      <alignment horizontal="center" vertical="center"/>
    </xf>
  </cellXfs>
  <cellStyles count="14">
    <cellStyle name="Millares 15" xfId="8" xr:uid="{7563DF0D-4CE8-4B11-9797-9A8A4544E0FF}"/>
    <cellStyle name="Millares 2" xfId="12" xr:uid="{4909ACE6-C96F-41A5-9D8A-6166B0E2FBD3}"/>
    <cellStyle name="Millares 4" xfId="6" xr:uid="{3D5BFF18-788F-4D1E-9EE8-23E5549FF667}"/>
    <cellStyle name="Millares 5" xfId="4" xr:uid="{60476805-C4B7-447B-94B5-FBA40709B8C0}"/>
    <cellStyle name="Moneda" xfId="1" builtinId="4"/>
    <cellStyle name="Moneda [0]" xfId="2" builtinId="7"/>
    <cellStyle name="Moneda 6" xfId="9" xr:uid="{8E2EE740-F6C3-4518-9004-2661D2E717DF}"/>
    <cellStyle name="Normal" xfId="0" builtinId="0"/>
    <cellStyle name="Normal 2" xfId="5" xr:uid="{A4BF59AF-D828-4942-A966-3F3D56846E32}"/>
    <cellStyle name="Normal 2 2 2" xfId="11" xr:uid="{563BEF8A-202D-4E01-8900-9B496BD0FCD5}"/>
    <cellStyle name="Normal 6 2" xfId="10" xr:uid="{24A577B2-68D9-42AD-B56B-4DCFB47E7DE8}"/>
    <cellStyle name="Normal_Libro4" xfId="3" xr:uid="{A50F8D14-8FAF-4666-9BF6-39F4B6CFC889}"/>
    <cellStyle name="Normal_precios 2001-2 y 2002-1" xfId="7" xr:uid="{C7D9D4FC-81E5-4882-B4EE-68E7435DAE30}"/>
    <cellStyle name="Porcentaje" xfId="13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16874/ESPECIALIZACION%20GERENCIA%20DE%20PROYECTOS%20DE%20OBRAS%20PUBLICAS/3-%20PRESUPUESTO%20DE%20OBRA%20FUNDACION.xlsx" TargetMode="External"/><Relationship Id="rId1" Type="http://schemas.openxmlformats.org/officeDocument/2006/relationships/externalLinkPath" Target="/16874/ESPECIALIZACION%20GERENCIA%20DE%20PROYECTOS%20DE%20OBRAS%20PUBLICAS/3-%20PRESUPUESTO%20DE%20OBRA%20FUNDAC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FACTOR PRESTACIONAL"/>
      <sheetName val="MDEO"/>
      <sheetName val="Anexo Cuadrillas"/>
      <sheetName val="TRANSPORTE"/>
      <sheetName val="EQUIPO"/>
      <sheetName val="BÁSICOS"/>
      <sheetName val="MATERIALES"/>
      <sheetName val="Hoja2"/>
      <sheetName val="ESCUELAS"/>
      <sheetName val="APUS ESCUE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/>
          <cell r="B6"/>
          <cell r="C6"/>
          <cell r="D6"/>
        </row>
        <row r="7">
          <cell r="A7">
            <v>45</v>
          </cell>
          <cell r="B7" t="str">
            <v>ACCESORIOS FIJACIÒN TEJA METÀLICA TERMOACÚSTICA</v>
          </cell>
          <cell r="C7" t="str">
            <v>UN</v>
          </cell>
          <cell r="D7">
            <v>4727</v>
          </cell>
        </row>
        <row r="8">
          <cell r="A8">
            <v>323</v>
          </cell>
          <cell r="B8" t="str">
            <v>ABRAZADERAS 1/2" A 2"</v>
          </cell>
          <cell r="C8" t="str">
            <v>UN</v>
          </cell>
          <cell r="D8">
            <v>4412</v>
          </cell>
        </row>
        <row r="9">
          <cell r="A9">
            <v>330</v>
          </cell>
          <cell r="B9" t="str">
            <v>ABRAZADERAS 2"</v>
          </cell>
          <cell r="C9" t="str">
            <v>UN</v>
          </cell>
          <cell r="D9">
            <v>6092</v>
          </cell>
        </row>
        <row r="10">
          <cell r="A10">
            <v>329</v>
          </cell>
          <cell r="B10" t="str">
            <v>ABRAZADERAS 3"</v>
          </cell>
          <cell r="C10" t="str">
            <v>UN</v>
          </cell>
          <cell r="D10">
            <v>7143</v>
          </cell>
        </row>
        <row r="11">
          <cell r="A11">
            <v>328</v>
          </cell>
          <cell r="B11" t="str">
            <v>ABRAZADERAS 4"</v>
          </cell>
          <cell r="C11" t="str">
            <v>UN</v>
          </cell>
          <cell r="D11">
            <v>8193</v>
          </cell>
        </row>
        <row r="12">
          <cell r="A12">
            <v>626</v>
          </cell>
          <cell r="B12" t="str">
            <v>ABRAZADERA DOBLE ALETA</v>
          </cell>
          <cell r="C12" t="str">
            <v>UN</v>
          </cell>
          <cell r="D12">
            <v>10706</v>
          </cell>
        </row>
        <row r="13">
          <cell r="A13">
            <v>376</v>
          </cell>
          <cell r="B13" t="str">
            <v>ABRAZADERA TRAPECIO 1"</v>
          </cell>
          <cell r="C13" t="str">
            <v>UN</v>
          </cell>
          <cell r="D13">
            <v>5042</v>
          </cell>
        </row>
        <row r="14">
          <cell r="A14">
            <v>377</v>
          </cell>
          <cell r="B14" t="str">
            <v>ABRAZADERA TRAPECIO 1-1/4"</v>
          </cell>
          <cell r="C14" t="str">
            <v>UN</v>
          </cell>
          <cell r="D14">
            <v>5672</v>
          </cell>
        </row>
        <row r="15">
          <cell r="A15">
            <v>378</v>
          </cell>
          <cell r="B15" t="str">
            <v>ABRAZADERA TRAPECIO 1-1/2"</v>
          </cell>
          <cell r="C15" t="str">
            <v>UN</v>
          </cell>
          <cell r="D15">
            <v>6092</v>
          </cell>
        </row>
        <row r="16">
          <cell r="A16">
            <v>379</v>
          </cell>
          <cell r="B16" t="str">
            <v>ABRAZADERA TRAPECIO 2-1/2"</v>
          </cell>
          <cell r="C16" t="str">
            <v>UN</v>
          </cell>
          <cell r="D16">
            <v>7143</v>
          </cell>
        </row>
        <row r="17">
          <cell r="A17">
            <v>380</v>
          </cell>
          <cell r="B17" t="str">
            <v>ABRAZADERA TRAPECIO 3"</v>
          </cell>
          <cell r="C17" t="str">
            <v>UN</v>
          </cell>
          <cell r="D17">
            <v>7983</v>
          </cell>
        </row>
        <row r="18">
          <cell r="A18">
            <v>302</v>
          </cell>
          <cell r="B18" t="str">
            <v>ABUTILON H=1.5 m</v>
          </cell>
          <cell r="C18" t="str">
            <v>UN</v>
          </cell>
          <cell r="D18">
            <v>47268</v>
          </cell>
        </row>
        <row r="19">
          <cell r="A19">
            <v>349</v>
          </cell>
          <cell r="B19" t="str">
            <v>ACCESORIO ACERO GALV. 4"</v>
          </cell>
          <cell r="C19" t="str">
            <v>UN</v>
          </cell>
          <cell r="D19">
            <v>32412</v>
          </cell>
        </row>
        <row r="20">
          <cell r="A20">
            <v>446</v>
          </cell>
          <cell r="B20" t="str">
            <v>ACCESORIOS BANDEJA TIPO ESCALERA 30 * 8</v>
          </cell>
          <cell r="C20" t="str">
            <v>UN</v>
          </cell>
          <cell r="D20">
            <v>18907</v>
          </cell>
        </row>
        <row r="21">
          <cell r="A21">
            <v>354</v>
          </cell>
          <cell r="B21" t="str">
            <v>ACCESORIO BLAZE MASTER SCH 40 1"</v>
          </cell>
          <cell r="C21" t="str">
            <v>UN</v>
          </cell>
          <cell r="D21">
            <v>7810</v>
          </cell>
        </row>
        <row r="22">
          <cell r="A22">
            <v>356</v>
          </cell>
          <cell r="B22" t="str">
            <v>ACCESORIO BLAZE MASTER SCH 40 1-1/4"</v>
          </cell>
          <cell r="C22" t="str">
            <v>UN</v>
          </cell>
          <cell r="D22">
            <v>10043</v>
          </cell>
        </row>
        <row r="23">
          <cell r="A23">
            <v>358</v>
          </cell>
          <cell r="B23" t="str">
            <v>ACCESORIO BLAZE MASTER SCH 40 1-1/2"</v>
          </cell>
          <cell r="C23" t="str">
            <v>UN</v>
          </cell>
          <cell r="D23">
            <v>14041</v>
          </cell>
        </row>
        <row r="24">
          <cell r="A24">
            <v>361</v>
          </cell>
          <cell r="B24" t="str">
            <v>ACCESORIO BLAZE MASTER SCH 40 2-1/2"</v>
          </cell>
          <cell r="C24" t="str">
            <v>UN</v>
          </cell>
          <cell r="D24">
            <v>35277</v>
          </cell>
        </row>
        <row r="25">
          <cell r="A25">
            <v>363</v>
          </cell>
          <cell r="B25" t="str">
            <v>ACCESORIO BLAZE MASTER SCH 40 3"</v>
          </cell>
          <cell r="C25" t="str">
            <v>UN</v>
          </cell>
          <cell r="D25">
            <v>48136</v>
          </cell>
        </row>
        <row r="26">
          <cell r="A26">
            <v>637</v>
          </cell>
          <cell r="B26" t="str">
            <v>ACCESORIO COBRE 1/2"</v>
          </cell>
          <cell r="C26" t="str">
            <v>UN</v>
          </cell>
          <cell r="D26">
            <v>8521</v>
          </cell>
        </row>
        <row r="27">
          <cell r="A27">
            <v>450</v>
          </cell>
          <cell r="B27" t="str">
            <v>ACCESORIO CONDUIT EMT 3/4"</v>
          </cell>
          <cell r="C27" t="str">
            <v>UN</v>
          </cell>
          <cell r="D27">
            <v>1889</v>
          </cell>
        </row>
        <row r="28">
          <cell r="A28">
            <v>448</v>
          </cell>
          <cell r="B28" t="str">
            <v>ACCESORIO CONDUIT EMT 1"</v>
          </cell>
          <cell r="C28" t="str">
            <v>UN</v>
          </cell>
          <cell r="D28">
            <v>3131</v>
          </cell>
        </row>
        <row r="29">
          <cell r="A29">
            <v>435</v>
          </cell>
          <cell r="B29" t="str">
            <v>ACCESORIO CONDUIT GALVANIZADO 1"</v>
          </cell>
          <cell r="C29" t="str">
            <v>UN</v>
          </cell>
          <cell r="D29">
            <v>3324</v>
          </cell>
        </row>
        <row r="30">
          <cell r="A30">
            <v>382</v>
          </cell>
          <cell r="B30" t="str">
            <v>ACCESORIO CONDUIT PVC 3/4"</v>
          </cell>
          <cell r="C30" t="str">
            <v>UN</v>
          </cell>
          <cell r="D30">
            <v>735</v>
          </cell>
        </row>
        <row r="31">
          <cell r="A31">
            <v>391</v>
          </cell>
          <cell r="B31" t="str">
            <v>ACCESORIO CONDUIT PVC 1"</v>
          </cell>
          <cell r="C31" t="str">
            <v>UN</v>
          </cell>
          <cell r="D31">
            <v>1366</v>
          </cell>
        </row>
        <row r="32">
          <cell r="A32">
            <v>394</v>
          </cell>
          <cell r="B32" t="str">
            <v>ACCESORIO CONDUIT PVC 1-1/4"</v>
          </cell>
          <cell r="C32" t="str">
            <v>UN</v>
          </cell>
          <cell r="D32">
            <v>2209</v>
          </cell>
        </row>
        <row r="33">
          <cell r="A33">
            <v>398</v>
          </cell>
          <cell r="B33" t="str">
            <v>ACCESORIO CONDUIT PVC 1-1/2"</v>
          </cell>
          <cell r="C33" t="str">
            <v>UN</v>
          </cell>
          <cell r="D33">
            <v>3170</v>
          </cell>
        </row>
        <row r="34">
          <cell r="A34">
            <v>400</v>
          </cell>
          <cell r="B34" t="str">
            <v>ACCESORIO CONDUIT PVC 2"</v>
          </cell>
          <cell r="C34" t="str">
            <v>UN</v>
          </cell>
          <cell r="D34">
            <v>7353</v>
          </cell>
        </row>
        <row r="35">
          <cell r="A35">
            <v>402</v>
          </cell>
          <cell r="B35" t="str">
            <v>ACCESORIO CONDUIT PVC 3"</v>
          </cell>
          <cell r="C35" t="str">
            <v>UN</v>
          </cell>
          <cell r="D35">
            <v>29306</v>
          </cell>
        </row>
        <row r="36">
          <cell r="A36">
            <v>113</v>
          </cell>
          <cell r="B36" t="str">
            <v>ACCESORIO NOVAFORT 6"</v>
          </cell>
          <cell r="C36" t="str">
            <v>UN</v>
          </cell>
          <cell r="D36">
            <v>30869</v>
          </cell>
        </row>
        <row r="37">
          <cell r="A37">
            <v>340</v>
          </cell>
          <cell r="B37" t="str">
            <v>ACCESORIO NOVAFORT 8"</v>
          </cell>
          <cell r="C37" t="str">
            <v>UN</v>
          </cell>
          <cell r="D37">
            <v>37293</v>
          </cell>
        </row>
        <row r="38">
          <cell r="A38">
            <v>352</v>
          </cell>
          <cell r="B38" t="str">
            <v>ACCESORIO PVC C-900 - 4"</v>
          </cell>
          <cell r="C38" t="str">
            <v>UN</v>
          </cell>
          <cell r="D38">
            <v>154883</v>
          </cell>
        </row>
        <row r="39">
          <cell r="A39">
            <v>36</v>
          </cell>
          <cell r="B39" t="str">
            <v>ACCESORIO PVC P 1/2"</v>
          </cell>
          <cell r="C39" t="str">
            <v>UN</v>
          </cell>
          <cell r="D39">
            <v>600</v>
          </cell>
        </row>
        <row r="40">
          <cell r="A40">
            <v>315</v>
          </cell>
          <cell r="B40" t="str">
            <v>ACCESORIO PVC P 3/4"</v>
          </cell>
          <cell r="C40" t="str">
            <v>UN</v>
          </cell>
          <cell r="D40">
            <v>959</v>
          </cell>
        </row>
        <row r="41">
          <cell r="A41">
            <v>117</v>
          </cell>
          <cell r="B41" t="str">
            <v>ACCESORIO PVC P 1"</v>
          </cell>
          <cell r="C41" t="str">
            <v>UN</v>
          </cell>
          <cell r="D41">
            <v>1875</v>
          </cell>
        </row>
        <row r="42">
          <cell r="A42">
            <v>314</v>
          </cell>
          <cell r="B42" t="str">
            <v>ACCESORIO PVC P 1-1/4"</v>
          </cell>
          <cell r="C42" t="str">
            <v>UN</v>
          </cell>
          <cell r="D42">
            <v>3604</v>
          </cell>
        </row>
        <row r="43">
          <cell r="A43">
            <v>313</v>
          </cell>
          <cell r="B43" t="str">
            <v>ACCESORIO PVC P 1-1/2"</v>
          </cell>
          <cell r="C43" t="str">
            <v>UN</v>
          </cell>
          <cell r="D43">
            <v>6730</v>
          </cell>
        </row>
        <row r="44">
          <cell r="A44">
            <v>312</v>
          </cell>
          <cell r="B44" t="str">
            <v>ACCESORIO PVC P 2"</v>
          </cell>
          <cell r="C44" t="str">
            <v>UN</v>
          </cell>
          <cell r="D44">
            <v>11028</v>
          </cell>
        </row>
        <row r="45">
          <cell r="A45">
            <v>581</v>
          </cell>
          <cell r="B45" t="str">
            <v>ACCESORIO PVC P 2-1/2"</v>
          </cell>
          <cell r="C45" t="str">
            <v>UN</v>
          </cell>
          <cell r="D45">
            <v>31762</v>
          </cell>
        </row>
        <row r="46">
          <cell r="A46">
            <v>121</v>
          </cell>
          <cell r="B46" t="str">
            <v>ACCESORIO PVC P 3"</v>
          </cell>
          <cell r="C46" t="str">
            <v>UN</v>
          </cell>
          <cell r="D46">
            <v>41105</v>
          </cell>
        </row>
        <row r="47">
          <cell r="A47">
            <v>26</v>
          </cell>
          <cell r="B47" t="str">
            <v>ACCESORIO PVC S 2"</v>
          </cell>
          <cell r="C47" t="str">
            <v>UN</v>
          </cell>
          <cell r="D47">
            <v>3801</v>
          </cell>
        </row>
        <row r="48">
          <cell r="A48">
            <v>27</v>
          </cell>
          <cell r="B48" t="str">
            <v>ACCESORIO PVC S 3"</v>
          </cell>
          <cell r="C48" t="str">
            <v>UN</v>
          </cell>
          <cell r="D48">
            <v>8266</v>
          </cell>
        </row>
        <row r="49">
          <cell r="A49">
            <v>28</v>
          </cell>
          <cell r="B49" t="str">
            <v>ACCESORIO PVC S 4"</v>
          </cell>
          <cell r="C49" t="str">
            <v>UN</v>
          </cell>
          <cell r="D49">
            <v>15169</v>
          </cell>
        </row>
        <row r="50">
          <cell r="A50">
            <v>115</v>
          </cell>
          <cell r="B50" t="str">
            <v>ACCESORIO PVC S 6"</v>
          </cell>
          <cell r="C50" t="str">
            <v>UN</v>
          </cell>
          <cell r="D50">
            <v>105107</v>
          </cell>
        </row>
        <row r="51">
          <cell r="A51">
            <v>590</v>
          </cell>
          <cell r="B51" t="str">
            <v>ACCESORIO RAN UL/FM Ø= 1/2"</v>
          </cell>
          <cell r="C51" t="str">
            <v>UN</v>
          </cell>
          <cell r="D51">
            <v>25735</v>
          </cell>
        </row>
        <row r="52">
          <cell r="A52">
            <v>18</v>
          </cell>
          <cell r="B52" t="str">
            <v>ACERO DE REFUERZO 240 Mpa</v>
          </cell>
          <cell r="C52" t="str">
            <v>KG</v>
          </cell>
          <cell r="D52">
            <v>2782</v>
          </cell>
        </row>
        <row r="53">
          <cell r="A53">
            <v>143</v>
          </cell>
          <cell r="B53" t="str">
            <v>ACERO DE REFUERZO 420 Mpa</v>
          </cell>
          <cell r="C53" t="str">
            <v>KG</v>
          </cell>
          <cell r="D53">
            <v>2782</v>
          </cell>
        </row>
        <row r="54">
          <cell r="A54">
            <v>41</v>
          </cell>
          <cell r="B54" t="str">
            <v>ACERO P/ESTRUCTURA METÁLICA</v>
          </cell>
          <cell r="C54" t="str">
            <v>KG</v>
          </cell>
          <cell r="D54">
            <v>7389</v>
          </cell>
        </row>
        <row r="55">
          <cell r="A55">
            <v>88</v>
          </cell>
          <cell r="B55" t="str">
            <v>ACOPLE SANITARIO</v>
          </cell>
          <cell r="C55" t="str">
            <v>UN</v>
          </cell>
          <cell r="D55">
            <v>2941</v>
          </cell>
        </row>
        <row r="56">
          <cell r="A56">
            <v>90</v>
          </cell>
          <cell r="B56" t="str">
            <v>ACOPLE LAVAMANOS</v>
          </cell>
          <cell r="C56" t="str">
            <v>UN</v>
          </cell>
          <cell r="D56">
            <v>4412</v>
          </cell>
        </row>
        <row r="57">
          <cell r="A57">
            <v>324</v>
          </cell>
          <cell r="B57" t="str">
            <v>ACOPLE LAVAPLATOS</v>
          </cell>
          <cell r="C57" t="str">
            <v>UN</v>
          </cell>
          <cell r="D57">
            <v>3992</v>
          </cell>
        </row>
        <row r="58">
          <cell r="A58">
            <v>449</v>
          </cell>
          <cell r="B58" t="str">
            <v>ADAPTADOR TERMINAL EMT 1"</v>
          </cell>
          <cell r="C58" t="str">
            <v>UN</v>
          </cell>
          <cell r="D58">
            <v>1462</v>
          </cell>
        </row>
        <row r="59">
          <cell r="A59">
            <v>451</v>
          </cell>
          <cell r="B59" t="str">
            <v>ADAPTADOR TERMINAL EMT 3/4"</v>
          </cell>
          <cell r="C59" t="str">
            <v>UN</v>
          </cell>
          <cell r="D59">
            <v>951</v>
          </cell>
        </row>
        <row r="60">
          <cell r="A60">
            <v>383</v>
          </cell>
          <cell r="B60" t="str">
            <v>ADAPTADOR TERMINAL PVC 3/4"</v>
          </cell>
          <cell r="C60" t="str">
            <v>UN</v>
          </cell>
          <cell r="D60">
            <v>840</v>
          </cell>
        </row>
        <row r="61">
          <cell r="A61">
            <v>392</v>
          </cell>
          <cell r="B61" t="str">
            <v>ADAPTADOR TERMINAL PVC 1"</v>
          </cell>
          <cell r="C61" t="str">
            <v>UN</v>
          </cell>
          <cell r="D61">
            <v>1873</v>
          </cell>
        </row>
        <row r="62">
          <cell r="A62">
            <v>393</v>
          </cell>
          <cell r="B62" t="str">
            <v>ADAPTADOR TERMINAL PVC 1-1/4"</v>
          </cell>
          <cell r="C62" t="str">
            <v>UN</v>
          </cell>
          <cell r="D62">
            <v>3061</v>
          </cell>
        </row>
        <row r="63">
          <cell r="A63">
            <v>223</v>
          </cell>
          <cell r="B63" t="str">
            <v>ADOQUIN VEHICULAR ESPAÑOL TERRACOTA MOORE</v>
          </cell>
          <cell r="C63" t="str">
            <v>M2</v>
          </cell>
          <cell r="D63">
            <v>38865</v>
          </cell>
        </row>
        <row r="64">
          <cell r="A64">
            <v>13</v>
          </cell>
          <cell r="B64" t="str">
            <v>AGUA</v>
          </cell>
          <cell r="C64" t="str">
            <v>LT</v>
          </cell>
          <cell r="D64">
            <v>31</v>
          </cell>
        </row>
        <row r="65">
          <cell r="A65">
            <v>412</v>
          </cell>
          <cell r="B65" t="str">
            <v>ALAMBRE DE Cu DESNUDO Nº 10</v>
          </cell>
          <cell r="C65" t="str">
            <v>ML</v>
          </cell>
          <cell r="D65">
            <v>2176</v>
          </cell>
        </row>
        <row r="66">
          <cell r="A66">
            <v>385</v>
          </cell>
          <cell r="B66" t="str">
            <v>ALAMBRE DE Cu DESNUDO Nº 12</v>
          </cell>
          <cell r="C66" t="str">
            <v>ML</v>
          </cell>
          <cell r="D66">
            <v>1336</v>
          </cell>
        </row>
        <row r="67">
          <cell r="A67">
            <v>411</v>
          </cell>
          <cell r="B67" t="str">
            <v>ALAMBRE DE Cu DESNUDO Nº 14</v>
          </cell>
          <cell r="C67" t="str">
            <v>ML</v>
          </cell>
          <cell r="D67">
            <v>939</v>
          </cell>
        </row>
        <row r="68">
          <cell r="A68">
            <v>403</v>
          </cell>
          <cell r="B68" t="str">
            <v>ALAMBRE DE Cu Nº 10 THHN - THWN</v>
          </cell>
          <cell r="C68" t="str">
            <v>ML</v>
          </cell>
          <cell r="D68">
            <v>2288</v>
          </cell>
        </row>
        <row r="69">
          <cell r="A69">
            <v>384</v>
          </cell>
          <cell r="B69" t="str">
            <v>ALAMBRE DE Cu Nº 12 THHN - THWN</v>
          </cell>
          <cell r="C69" t="str">
            <v>ML</v>
          </cell>
          <cell r="D69">
            <v>1434</v>
          </cell>
        </row>
        <row r="70">
          <cell r="A70">
            <v>410</v>
          </cell>
          <cell r="B70" t="str">
            <v>ALAMBRE DE Cu Nº 14 THHN - THWN</v>
          </cell>
          <cell r="C70" t="str">
            <v>ML</v>
          </cell>
          <cell r="D70">
            <v>984</v>
          </cell>
        </row>
        <row r="71">
          <cell r="A71">
            <v>125</v>
          </cell>
          <cell r="B71" t="str">
            <v>ALAMBRE DE PÚA</v>
          </cell>
          <cell r="C71" t="str">
            <v>ML</v>
          </cell>
          <cell r="D71">
            <v>359</v>
          </cell>
        </row>
        <row r="72">
          <cell r="A72">
            <v>19</v>
          </cell>
          <cell r="B72" t="str">
            <v>ALAMBRE NEGRO N° 18</v>
          </cell>
          <cell r="C72" t="str">
            <v>KG</v>
          </cell>
          <cell r="D72">
            <v>4204</v>
          </cell>
        </row>
        <row r="73">
          <cell r="A73">
            <v>515</v>
          </cell>
          <cell r="B73" t="str">
            <v>AMARRE DE VELCRO</v>
          </cell>
          <cell r="C73" t="str">
            <v>UN</v>
          </cell>
          <cell r="D73">
            <v>26260</v>
          </cell>
        </row>
        <row r="74">
          <cell r="A74">
            <v>189</v>
          </cell>
          <cell r="B74" t="str">
            <v>ANCLAJE 1/2"</v>
          </cell>
          <cell r="C74" t="str">
            <v>UN</v>
          </cell>
          <cell r="D74">
            <v>3676</v>
          </cell>
        </row>
        <row r="75">
          <cell r="A75">
            <v>193</v>
          </cell>
          <cell r="B75" t="str">
            <v>ANCLAJE EPÒXICO DIF. DIÀMETROS</v>
          </cell>
          <cell r="C75" t="str">
            <v>UN</v>
          </cell>
          <cell r="D75">
            <v>5042</v>
          </cell>
        </row>
        <row r="76">
          <cell r="A76">
            <v>523</v>
          </cell>
          <cell r="B76" t="str">
            <v>APROBACIÓN PROYECTO ELÉCTRICO</v>
          </cell>
          <cell r="C76" t="str">
            <v>UN</v>
          </cell>
          <cell r="D76">
            <v>3518840</v>
          </cell>
        </row>
        <row r="77">
          <cell r="A77">
            <v>576</v>
          </cell>
          <cell r="B77" t="str">
            <v>ARENA FINA</v>
          </cell>
          <cell r="C77" t="str">
            <v>M3</v>
          </cell>
          <cell r="D77">
            <v>46302</v>
          </cell>
        </row>
        <row r="78">
          <cell r="A78">
            <v>16</v>
          </cell>
          <cell r="B78" t="str">
            <v>ARENA SEMILAVADA DE PEÑA</v>
          </cell>
          <cell r="C78" t="str">
            <v>M3</v>
          </cell>
          <cell r="D78">
            <v>47916</v>
          </cell>
        </row>
        <row r="79">
          <cell r="A79">
            <v>123</v>
          </cell>
          <cell r="B79" t="str">
            <v>ARENA LAVADA DE RIO</v>
          </cell>
          <cell r="C79" t="str">
            <v>M3</v>
          </cell>
          <cell r="D79">
            <v>134451</v>
          </cell>
        </row>
        <row r="80">
          <cell r="A80">
            <v>62</v>
          </cell>
          <cell r="B80" t="str">
            <v>BALDOSA GRANITO 0.30 * 0.30 GRIS PAYANDÉ</v>
          </cell>
          <cell r="C80" t="str">
            <v>M2</v>
          </cell>
          <cell r="D80">
            <v>38261</v>
          </cell>
        </row>
        <row r="81">
          <cell r="A81">
            <v>558</v>
          </cell>
          <cell r="B81" t="str">
            <v>BARANDA METÁLICA CON VERTICALES DE SOPORTE TUBULAR EN LÁMINA, ANCLADA A LA VIGA DE BORDE, HORIZONTALES EN PLATINA SENCILLA Y ORNAMENTOS EN VARILLA, CON ANTICORROSIVO Y ESMALTE MATE COLOR GRIS ALUMINIO</v>
          </cell>
          <cell r="C81" t="str">
            <v>ML</v>
          </cell>
          <cell r="D81">
            <v>231088</v>
          </cell>
        </row>
        <row r="82">
          <cell r="A82">
            <v>282</v>
          </cell>
          <cell r="B82" t="str">
            <v>Barra en U reforzada a piso y Barra Recta en acero inoxidable Socoda o Similar para discapacitados</v>
          </cell>
          <cell r="C82" t="str">
            <v>JGO</v>
          </cell>
          <cell r="D82">
            <v>107141</v>
          </cell>
        </row>
        <row r="83">
          <cell r="A83">
            <v>517</v>
          </cell>
          <cell r="B83" t="str">
            <v>Barraje TGB</v>
          </cell>
          <cell r="C83" t="str">
            <v>UN</v>
          </cell>
          <cell r="D83">
            <v>399152</v>
          </cell>
        </row>
        <row r="84">
          <cell r="A84">
            <v>5</v>
          </cell>
          <cell r="B84" t="str">
            <v>BISAGRA COMUN</v>
          </cell>
          <cell r="C84" t="str">
            <v>UN</v>
          </cell>
          <cell r="D84">
            <v>1155</v>
          </cell>
        </row>
        <row r="85">
          <cell r="A85">
            <v>42</v>
          </cell>
          <cell r="B85" t="str">
            <v>BLOQUE DE ARCILLA N° 5</v>
          </cell>
          <cell r="C85" t="str">
            <v>UN</v>
          </cell>
          <cell r="D85">
            <v>940</v>
          </cell>
        </row>
        <row r="86">
          <cell r="A86">
            <v>593</v>
          </cell>
          <cell r="B86" t="str">
            <v>BLOQUE DE CEMENTO 12 * 19 * 39</v>
          </cell>
          <cell r="C86" t="str">
            <v>UN</v>
          </cell>
          <cell r="D86">
            <v>1961</v>
          </cell>
        </row>
        <row r="87">
          <cell r="A87">
            <v>594</v>
          </cell>
          <cell r="B87" t="str">
            <v>BLOQUE TIPO CALADO</v>
          </cell>
          <cell r="C87" t="str">
            <v>UN</v>
          </cell>
          <cell r="D87">
            <v>1876</v>
          </cell>
        </row>
        <row r="88">
          <cell r="A88">
            <v>577</v>
          </cell>
          <cell r="B88" t="str">
            <v>BORDILLO PREFABRICADO A-80</v>
          </cell>
          <cell r="C88" t="str">
            <v>UN</v>
          </cell>
          <cell r="D88">
            <v>33613</v>
          </cell>
        </row>
        <row r="89">
          <cell r="A89">
            <v>132</v>
          </cell>
          <cell r="B89" t="str">
            <v>BREAKER 1 * 30 A</v>
          </cell>
          <cell r="C89" t="str">
            <v>UN</v>
          </cell>
          <cell r="D89">
            <v>13550</v>
          </cell>
        </row>
        <row r="90">
          <cell r="A90">
            <v>597</v>
          </cell>
          <cell r="B90" t="str">
            <v>CABALLETE PARA TEJA TERMOACÚSTICA CINDULIT O SIMILAR</v>
          </cell>
          <cell r="C90" t="str">
            <v>ML</v>
          </cell>
          <cell r="D90">
            <v>13130</v>
          </cell>
        </row>
        <row r="91">
          <cell r="A91">
            <v>500</v>
          </cell>
          <cell r="B91" t="str">
            <v>CABLE UTP CAT 6A, 500 MHz, 10G, 4x2x23 AWG</v>
          </cell>
          <cell r="C91" t="str">
            <v>ML</v>
          </cell>
          <cell r="D91">
            <v>6828</v>
          </cell>
        </row>
        <row r="92">
          <cell r="A92">
            <v>409</v>
          </cell>
          <cell r="B92" t="str">
            <v>CABLE DE Cu Nº 300 MCM THHN - THWN</v>
          </cell>
          <cell r="C92" t="str">
            <v>ML</v>
          </cell>
          <cell r="D92">
            <v>73598</v>
          </cell>
        </row>
        <row r="93">
          <cell r="A93">
            <v>440</v>
          </cell>
          <cell r="B93" t="str">
            <v>CABLE DE Cu DESNUDO Nº 2/0 AWG</v>
          </cell>
          <cell r="C93" t="str">
            <v>ML</v>
          </cell>
          <cell r="D93">
            <v>28851</v>
          </cell>
        </row>
        <row r="94">
          <cell r="A94">
            <v>414</v>
          </cell>
          <cell r="B94" t="str">
            <v>CABLE DE Cu DESNUDO Nº 6 AWG</v>
          </cell>
          <cell r="C94" t="str">
            <v>ML</v>
          </cell>
          <cell r="D94">
            <v>6137</v>
          </cell>
        </row>
        <row r="95">
          <cell r="A95">
            <v>413</v>
          </cell>
          <cell r="B95" t="str">
            <v>CABLE DE Cu DESNUDO Nº 8 AWG</v>
          </cell>
          <cell r="C95" t="str">
            <v>ML</v>
          </cell>
          <cell r="D95">
            <v>4048</v>
          </cell>
        </row>
        <row r="96">
          <cell r="A96">
            <v>415</v>
          </cell>
          <cell r="B96" t="str">
            <v>CABLE DE Cu Nº 3/0 THHN - THWN</v>
          </cell>
          <cell r="C96" t="str">
            <v>ML</v>
          </cell>
          <cell r="D96">
            <v>39550</v>
          </cell>
        </row>
        <row r="97">
          <cell r="A97">
            <v>428</v>
          </cell>
          <cell r="B97" t="str">
            <v>CABLE DE Cu Nº 2/0 THHN - THWN</v>
          </cell>
          <cell r="C97" t="str">
            <v>ML</v>
          </cell>
          <cell r="D97">
            <v>31515</v>
          </cell>
        </row>
        <row r="98">
          <cell r="A98">
            <v>408</v>
          </cell>
          <cell r="B98" t="str">
            <v>CABLE DE Cu Nº 1/0 THHN - THWN</v>
          </cell>
          <cell r="C98" t="str">
            <v>ML</v>
          </cell>
          <cell r="D98">
            <v>25206</v>
          </cell>
        </row>
        <row r="99">
          <cell r="A99">
            <v>407</v>
          </cell>
          <cell r="B99" t="str">
            <v>CABLE DE Cu Nº 2 THHN - THWN</v>
          </cell>
          <cell r="C99" t="str">
            <v>ML</v>
          </cell>
          <cell r="D99">
            <v>17008</v>
          </cell>
        </row>
        <row r="100">
          <cell r="A100">
            <v>406</v>
          </cell>
          <cell r="B100" t="str">
            <v>CABLE DE Cu Nº 4 THHN - THWN</v>
          </cell>
          <cell r="C100" t="str">
            <v>ML</v>
          </cell>
          <cell r="D100">
            <v>9946</v>
          </cell>
        </row>
        <row r="101">
          <cell r="A101">
            <v>405</v>
          </cell>
          <cell r="B101" t="str">
            <v>CABLE DE Cu Nº 6 THHN - THWN</v>
          </cell>
          <cell r="C101" t="str">
            <v>ML</v>
          </cell>
          <cell r="D101">
            <v>2905</v>
          </cell>
        </row>
        <row r="102">
          <cell r="A102">
            <v>404</v>
          </cell>
          <cell r="B102" t="str">
            <v>CABLE DE Cu Nº 8 THHN - THWN</v>
          </cell>
          <cell r="C102" t="str">
            <v>ML</v>
          </cell>
          <cell r="D102">
            <v>4187</v>
          </cell>
        </row>
        <row r="103">
          <cell r="A103">
            <v>129</v>
          </cell>
          <cell r="B103" t="str">
            <v>CABLE ALUMINIO AISLADO THW 1/0</v>
          </cell>
          <cell r="C103" t="str">
            <v>ML</v>
          </cell>
          <cell r="D103">
            <v>3176</v>
          </cell>
        </row>
        <row r="104">
          <cell r="A104">
            <v>130</v>
          </cell>
          <cell r="B104" t="str">
            <v>CABLE ALUMINIO AISLADO THW 2/0</v>
          </cell>
          <cell r="C104" t="str">
            <v>ML</v>
          </cell>
          <cell r="D104">
            <v>4980</v>
          </cell>
        </row>
        <row r="105">
          <cell r="A105">
            <v>498</v>
          </cell>
          <cell r="B105" t="str">
            <v>CABLE COAXIAL TV</v>
          </cell>
          <cell r="C105" t="str">
            <v>ML</v>
          </cell>
          <cell r="D105">
            <v>1471</v>
          </cell>
        </row>
        <row r="106">
          <cell r="A106">
            <v>492</v>
          </cell>
          <cell r="B106" t="str">
            <v>CABLE TELEFÓNICO</v>
          </cell>
          <cell r="C106" t="str">
            <v>ML</v>
          </cell>
          <cell r="D106">
            <v>1260</v>
          </cell>
        </row>
        <row r="107">
          <cell r="A107">
            <v>520</v>
          </cell>
          <cell r="B107" t="str">
            <v>Cable telefónico multipar 30 pares tipo exterior 0,4</v>
          </cell>
          <cell r="C107" t="str">
            <v>ML</v>
          </cell>
          <cell r="D107">
            <v>5882</v>
          </cell>
        </row>
        <row r="108">
          <cell r="A108">
            <v>557</v>
          </cell>
          <cell r="B108" t="str">
            <v>CAJA CONTADORES</v>
          </cell>
          <cell r="C108" t="str">
            <v>UN</v>
          </cell>
          <cell r="D108">
            <v>126048</v>
          </cell>
        </row>
        <row r="109">
          <cell r="A109">
            <v>131</v>
          </cell>
          <cell r="B109" t="str">
            <v>CAJA GALVANIZADA 2400</v>
          </cell>
          <cell r="C109" t="str">
            <v>UN</v>
          </cell>
          <cell r="D109">
            <v>1434</v>
          </cell>
        </row>
        <row r="110">
          <cell r="A110">
            <v>598</v>
          </cell>
          <cell r="B110" t="str">
            <v>CANAL PVC PARA AGUAS LLUVIAS, INCLUYE ACCESORIOS DE FIJACIÓN</v>
          </cell>
          <cell r="C110" t="str">
            <v>ML</v>
          </cell>
          <cell r="D110">
            <v>27100</v>
          </cell>
        </row>
        <row r="111">
          <cell r="A111">
            <v>175</v>
          </cell>
          <cell r="B111" t="str">
            <v>CANAL LATÒN, DESARROLLO 50 CM, LÀM. GALV. C18</v>
          </cell>
          <cell r="C111" t="str">
            <v>ML</v>
          </cell>
          <cell r="D111">
            <v>34138</v>
          </cell>
        </row>
        <row r="112">
          <cell r="A112">
            <v>179</v>
          </cell>
          <cell r="B112" t="str">
            <v>CANAL LATÒN, DESARROLLO 75 CM, LÀM. GALV. C18</v>
          </cell>
          <cell r="C112" t="str">
            <v>ML</v>
          </cell>
          <cell r="D112">
            <v>40440</v>
          </cell>
        </row>
        <row r="113">
          <cell r="A113">
            <v>180</v>
          </cell>
          <cell r="B113" t="str">
            <v>CANAL LÀM. GALVANIZADA, D=1.00 M, C18</v>
          </cell>
          <cell r="C113" t="str">
            <v>ML</v>
          </cell>
          <cell r="D113">
            <v>47268</v>
          </cell>
        </row>
        <row r="114">
          <cell r="A114">
            <v>611</v>
          </cell>
          <cell r="B114" t="str">
            <v>CANCHA MÚLTIPLE</v>
          </cell>
          <cell r="C114" t="str">
            <v>UN</v>
          </cell>
          <cell r="D114">
            <v>1260480</v>
          </cell>
        </row>
        <row r="115">
          <cell r="A115">
            <v>306</v>
          </cell>
          <cell r="B115" t="str">
            <v>CANECA EN ACERO INOXIDABLE</v>
          </cell>
          <cell r="C115" t="str">
            <v>UN</v>
          </cell>
          <cell r="D115">
            <v>252096</v>
          </cell>
        </row>
        <row r="116">
          <cell r="A116">
            <v>60</v>
          </cell>
          <cell r="B116" t="str">
            <v>CAOLÍN</v>
          </cell>
          <cell r="C116" t="str">
            <v>BT</v>
          </cell>
          <cell r="D116">
            <v>12920</v>
          </cell>
        </row>
        <row r="117">
          <cell r="A117">
            <v>99</v>
          </cell>
          <cell r="B117" t="str">
            <v>Caja con tapa PVC para registro</v>
          </cell>
          <cell r="C117" t="str">
            <v>UN</v>
          </cell>
          <cell r="D117">
            <v>10150</v>
          </cell>
        </row>
        <row r="118">
          <cell r="A118">
            <v>145</v>
          </cell>
          <cell r="B118" t="str">
            <v>CASETÒN DE GUADUA</v>
          </cell>
          <cell r="C118" t="str">
            <v>M2</v>
          </cell>
          <cell r="D118">
            <v>14706</v>
          </cell>
        </row>
        <row r="119">
          <cell r="A119">
            <v>522</v>
          </cell>
          <cell r="B119" t="str">
            <v>Central telefónica para 8 lineas, 20 extensiones,  con consola, equipos de protección, programación, fuente, tarjetas y demás accesorios para un correcto funcionamiento.</v>
          </cell>
          <cell r="C119" t="str">
            <v>UN</v>
          </cell>
          <cell r="D119">
            <v>4044040</v>
          </cell>
        </row>
        <row r="120">
          <cell r="A120">
            <v>107</v>
          </cell>
          <cell r="B120" t="str">
            <v>CESPEDÒN</v>
          </cell>
          <cell r="C120" t="str">
            <v>M2</v>
          </cell>
          <cell r="D120">
            <v>4727</v>
          </cell>
        </row>
        <row r="121">
          <cell r="A121">
            <v>40</v>
          </cell>
          <cell r="B121" t="str">
            <v>CEMENTO BLANCO</v>
          </cell>
          <cell r="C121" t="str">
            <v>KG</v>
          </cell>
          <cell r="D121">
            <v>1137</v>
          </cell>
        </row>
        <row r="122">
          <cell r="A122">
            <v>14</v>
          </cell>
          <cell r="B122" t="str">
            <v>CEMENTO GRIS</v>
          </cell>
          <cell r="C122" t="str">
            <v>KG</v>
          </cell>
          <cell r="D122">
            <v>618</v>
          </cell>
        </row>
        <row r="123">
          <cell r="A123">
            <v>359</v>
          </cell>
          <cell r="B123" t="str">
            <v>CEMENTO SOLVENTE 1/8GL</v>
          </cell>
          <cell r="C123" t="str">
            <v>UN</v>
          </cell>
          <cell r="D123">
            <v>52144</v>
          </cell>
        </row>
        <row r="124">
          <cell r="A124">
            <v>232</v>
          </cell>
          <cell r="B124" t="str">
            <v>CERÁMICA PISO 30 * 30</v>
          </cell>
          <cell r="C124" t="str">
            <v>M2</v>
          </cell>
          <cell r="D124">
            <v>27836</v>
          </cell>
        </row>
        <row r="125">
          <cell r="A125">
            <v>218</v>
          </cell>
          <cell r="B125" t="str">
            <v>CERÁMICA PARED EGEO PLANO 25*25</v>
          </cell>
          <cell r="C125" t="str">
            <v>M2</v>
          </cell>
          <cell r="D125">
            <v>31848</v>
          </cell>
        </row>
        <row r="126">
          <cell r="A126">
            <v>573</v>
          </cell>
          <cell r="B126" t="str">
            <v>CERRADURA SAFE BAÑO CLASIC 152 - ALUMINO SATINADO</v>
          </cell>
          <cell r="C126" t="str">
            <v>UN</v>
          </cell>
          <cell r="D126">
            <v>26319</v>
          </cell>
        </row>
        <row r="127">
          <cell r="A127">
            <v>574</v>
          </cell>
          <cell r="B127" t="str">
            <v>CERRADURA SAFE ENTRADA 142A ALUMINIO SATINADO</v>
          </cell>
          <cell r="C127" t="str">
            <v>UN</v>
          </cell>
          <cell r="D127">
            <v>34604</v>
          </cell>
        </row>
        <row r="128">
          <cell r="A128">
            <v>575</v>
          </cell>
          <cell r="B128" t="str">
            <v>CERRADURA PUERTAS ACCESO PRINCIPAL</v>
          </cell>
          <cell r="C128" t="str">
            <v>UN</v>
          </cell>
          <cell r="D128">
            <v>36554</v>
          </cell>
        </row>
        <row r="129">
          <cell r="A129">
            <v>102</v>
          </cell>
          <cell r="B129" t="str">
            <v>CERRADURA CILÍNDRICA DE POMO METÁLICO GRADO 2 FUNCIÓN AULA, (POMO INTERIOR SIEMPRE ACTIVO, POMO EXTERIOR SE ACTIVA CON LA LLAVE.) CON AMAESTRAMIENTO SEGÚN ESPECIFICACIÓN. REFERENCIA YALE  LF 5308 O EQUIVALENTE</v>
          </cell>
          <cell r="C129" t="str">
            <v>UN</v>
          </cell>
          <cell r="D129">
            <v>70904</v>
          </cell>
        </row>
        <row r="130">
          <cell r="A130">
            <v>471</v>
          </cell>
          <cell r="B130" t="str">
            <v>CERTIFICADO RETIE</v>
          </cell>
          <cell r="C130" t="str">
            <v>GBL</v>
          </cell>
          <cell r="D130">
            <v>2100800</v>
          </cell>
        </row>
        <row r="131">
          <cell r="A131">
            <v>472</v>
          </cell>
          <cell r="B131" t="str">
            <v>CERTIFICADO RETILAP</v>
          </cell>
          <cell r="C131" t="str">
            <v>GBL</v>
          </cell>
          <cell r="D131">
            <v>1428544</v>
          </cell>
        </row>
        <row r="132">
          <cell r="A132">
            <v>292</v>
          </cell>
          <cell r="B132" t="str">
            <v>CESPEDÓN</v>
          </cell>
          <cell r="C132" t="str">
            <v>M2</v>
          </cell>
          <cell r="D132">
            <v>3676</v>
          </cell>
        </row>
        <row r="133">
          <cell r="A133">
            <v>623</v>
          </cell>
          <cell r="B133" t="str">
            <v>CHEQUE DE 1"</v>
          </cell>
          <cell r="C133" t="str">
            <v>UN</v>
          </cell>
          <cell r="D133">
            <v>63535</v>
          </cell>
        </row>
        <row r="134">
          <cell r="A134">
            <v>364</v>
          </cell>
          <cell r="B134" t="str">
            <v>CHEQUE AMORTIGUADO RANURADO 4"</v>
          </cell>
          <cell r="C134" t="str">
            <v>UN</v>
          </cell>
          <cell r="D134">
            <v>1124033</v>
          </cell>
        </row>
        <row r="135">
          <cell r="A135">
            <v>374</v>
          </cell>
          <cell r="B135" t="str">
            <v>CHEQUE AMORTIGUADO RANURADO 3"</v>
          </cell>
          <cell r="C135" t="str">
            <v>UN</v>
          </cell>
          <cell r="D135">
            <v>590833</v>
          </cell>
        </row>
        <row r="136">
          <cell r="A136">
            <v>634</v>
          </cell>
          <cell r="B136" t="str">
            <v>CILINDRO DE GAS</v>
          </cell>
          <cell r="C136" t="str">
            <v>UN</v>
          </cell>
          <cell r="D136">
            <v>74284</v>
          </cell>
        </row>
        <row r="137">
          <cell r="A137">
            <v>592</v>
          </cell>
          <cell r="B137" t="str">
            <v>CINTA SIKA PVC O22</v>
          </cell>
          <cell r="C137" t="str">
            <v>ML</v>
          </cell>
          <cell r="D137">
            <v>13445</v>
          </cell>
        </row>
        <row r="138">
          <cell r="A138">
            <v>38</v>
          </cell>
          <cell r="B138" t="str">
            <v>CINTA TEFLÓN</v>
          </cell>
          <cell r="C138" t="str">
            <v>UN</v>
          </cell>
          <cell r="D138">
            <v>974</v>
          </cell>
        </row>
        <row r="139">
          <cell r="A139">
            <v>59</v>
          </cell>
          <cell r="B139" t="str">
            <v>COLOR MINERAL</v>
          </cell>
          <cell r="C139" t="str">
            <v>KG</v>
          </cell>
          <cell r="D139">
            <v>9874</v>
          </cell>
        </row>
        <row r="140">
          <cell r="A140">
            <v>136</v>
          </cell>
          <cell r="B140" t="str">
            <v>CONCRETO 21 Mpa (3000 PSI)</v>
          </cell>
          <cell r="C140" t="str">
            <v>M3</v>
          </cell>
          <cell r="D140">
            <v>426866</v>
          </cell>
        </row>
        <row r="141">
          <cell r="A141">
            <v>615</v>
          </cell>
          <cell r="B141" t="str">
            <v>CONCRETO 21 Mpa (3000 PSI)TIPO TREMIE</v>
          </cell>
          <cell r="C141" t="str">
            <v>M3</v>
          </cell>
          <cell r="D141">
            <v>444064</v>
          </cell>
        </row>
        <row r="142">
          <cell r="A142">
            <v>124</v>
          </cell>
          <cell r="B142" t="str">
            <v>CONCRETO  10MPA (1500 PSI)</v>
          </cell>
          <cell r="C142" t="str">
            <v>M3</v>
          </cell>
          <cell r="D142">
            <v>321369</v>
          </cell>
        </row>
        <row r="143">
          <cell r="A143">
            <v>621</v>
          </cell>
          <cell r="B143" t="str">
            <v>CONCRETO  14 MPA (2000 PSI)</v>
          </cell>
          <cell r="C143" t="str">
            <v>M3</v>
          </cell>
          <cell r="D143">
            <v>345479</v>
          </cell>
        </row>
        <row r="144">
          <cell r="A144">
            <v>622</v>
          </cell>
          <cell r="B144" t="str">
            <v>CONCRETO DE 24 MPA (3500 PSI)</v>
          </cell>
          <cell r="C144" t="str">
            <v>M3</v>
          </cell>
          <cell r="D144">
            <v>447258</v>
          </cell>
        </row>
        <row r="145">
          <cell r="A145">
            <v>437</v>
          </cell>
          <cell r="B145" t="str">
            <v>CONECTOR BIMETÀLICO 2/0 CU A 1/0 AL</v>
          </cell>
          <cell r="C145" t="str">
            <v>UN</v>
          </cell>
          <cell r="D145">
            <v>3992</v>
          </cell>
        </row>
        <row r="146">
          <cell r="A146">
            <v>526</v>
          </cell>
          <cell r="B146" t="str">
            <v>CUBIERTA TERMOACÚSTICA CINDULIT 180 O SIMILAR</v>
          </cell>
          <cell r="C146" t="str">
            <v>M2</v>
          </cell>
          <cell r="D146">
            <v>157560</v>
          </cell>
        </row>
        <row r="147">
          <cell r="A147">
            <v>629</v>
          </cell>
          <cell r="B147" t="str">
            <v>DESINFECCIÓN DEL SISTEMA</v>
          </cell>
          <cell r="C147" t="str">
            <v>GBL</v>
          </cell>
          <cell r="D147">
            <v>655450</v>
          </cell>
        </row>
        <row r="148">
          <cell r="A148">
            <v>228</v>
          </cell>
          <cell r="B148" t="str">
            <v>DILATACIÓN EN BRONCE</v>
          </cell>
          <cell r="C148" t="str">
            <v>ML</v>
          </cell>
          <cell r="D148">
            <v>2958</v>
          </cell>
        </row>
        <row r="149">
          <cell r="A149">
            <v>97</v>
          </cell>
          <cell r="B149" t="str">
            <v xml:space="preserve">Dispensador de Jabón Liquido Plastico Familia o Similar </v>
          </cell>
          <cell r="C149" t="str">
            <v>UN</v>
          </cell>
          <cell r="D149">
            <v>72373</v>
          </cell>
        </row>
        <row r="150">
          <cell r="A150">
            <v>96</v>
          </cell>
          <cell r="B150" t="str">
            <v>Dispensador de Papel higiénico Jumbo blanco Plástico Familia o similar. Ref. 83410</v>
          </cell>
          <cell r="C150" t="str">
            <v>UN</v>
          </cell>
          <cell r="D150">
            <v>56196</v>
          </cell>
        </row>
        <row r="151">
          <cell r="A151">
            <v>86</v>
          </cell>
          <cell r="B151" t="str">
            <v>Divisiones y puertas en acero inoxidable para baños (Divisiones y puertas)</v>
          </cell>
          <cell r="C151" t="str">
            <v>M2</v>
          </cell>
          <cell r="D151">
            <v>378144</v>
          </cell>
        </row>
        <row r="152">
          <cell r="A152">
            <v>275</v>
          </cell>
          <cell r="B152" t="str">
            <v>DIVISIÓN SANITARIA CON PUERTA EN LÁMINA GALVANIZADA Barra en U reforzada (calibre 18) ACABADO CON PINTURA ELECTROSTÁTICA HORNEABLE COLOR, PATA DE ANCLAJE EN VARILLA DE HIERRO Y TUBULAR EN LÁMINA COLD ROLLED</v>
          </cell>
          <cell r="C152" t="str">
            <v>M2</v>
          </cell>
          <cell r="D152">
            <v>420160</v>
          </cell>
        </row>
        <row r="153">
          <cell r="A153">
            <v>564</v>
          </cell>
          <cell r="B153" t="str">
            <v>DUCHA SENCILLA PISCIS</v>
          </cell>
          <cell r="C153" t="str">
            <v>UN</v>
          </cell>
          <cell r="D153">
            <v>74894</v>
          </cell>
        </row>
        <row r="154">
          <cell r="A154">
            <v>442</v>
          </cell>
          <cell r="B154" t="str">
            <v>DUCTO DB 3"</v>
          </cell>
          <cell r="C154" t="str">
            <v>ML</v>
          </cell>
          <cell r="D154">
            <v>9645</v>
          </cell>
        </row>
        <row r="155">
          <cell r="A155">
            <v>441</v>
          </cell>
          <cell r="B155" t="str">
            <v>DUCTO DB 6"</v>
          </cell>
          <cell r="C155" t="str">
            <v>ML</v>
          </cell>
          <cell r="D155">
            <v>26846</v>
          </cell>
        </row>
        <row r="156">
          <cell r="A156">
            <v>1</v>
          </cell>
          <cell r="B156" t="str">
            <v>DURMIENTE ORDINARIO</v>
          </cell>
          <cell r="C156" t="str">
            <v>ML</v>
          </cell>
          <cell r="D156">
            <v>1208</v>
          </cell>
        </row>
        <row r="157">
          <cell r="A157">
            <v>632</v>
          </cell>
          <cell r="B157" t="str">
            <v>ENCAMISADO PLÁSTICO</v>
          </cell>
          <cell r="C157" t="str">
            <v>UN</v>
          </cell>
          <cell r="D157">
            <v>4370</v>
          </cell>
        </row>
        <row r="158">
          <cell r="A158">
            <v>639</v>
          </cell>
          <cell r="B158" t="str">
            <v>Equipo de presion agua potable (Q=3,85 l/s; CDT=18mca; P=2 HP)</v>
          </cell>
          <cell r="C158" t="str">
            <v>UN</v>
          </cell>
          <cell r="D158">
            <v>7354880</v>
          </cell>
        </row>
        <row r="159">
          <cell r="A159">
            <v>524</v>
          </cell>
          <cell r="B159" t="str">
            <v>EQUIPOS DE MEDIDA</v>
          </cell>
          <cell r="C159" t="str">
            <v>UN</v>
          </cell>
          <cell r="D159">
            <v>1300000</v>
          </cell>
        </row>
        <row r="160">
          <cell r="A160">
            <v>100</v>
          </cell>
          <cell r="B160" t="str">
            <v>ESPEJO BISELADO PARA BAÑOS 6 mm</v>
          </cell>
          <cell r="C160" t="str">
            <v>M2</v>
          </cell>
          <cell r="D160">
            <v>66073</v>
          </cell>
        </row>
        <row r="161">
          <cell r="A161">
            <v>56</v>
          </cell>
          <cell r="B161" t="str">
            <v>ESMALTE PARA TRÁFICO</v>
          </cell>
          <cell r="C161" t="str">
            <v>GL</v>
          </cell>
          <cell r="D161">
            <v>115019</v>
          </cell>
        </row>
        <row r="162">
          <cell r="A162">
            <v>3</v>
          </cell>
          <cell r="B162" t="str">
            <v>ESTACAS, MARCAS, CLAVOS Y DEMÁS ELEMENTOS</v>
          </cell>
          <cell r="C162" t="str">
            <v>ML</v>
          </cell>
          <cell r="D162">
            <v>1944</v>
          </cell>
        </row>
        <row r="163">
          <cell r="A163">
            <v>595</v>
          </cell>
          <cell r="B163" t="str">
            <v>ESTRUCTURA METÁLICA PARA CUBIERTA, INCLUYE ANTICORROSIVO, ACABADO EN PINTURA DE POLIURETANO</v>
          </cell>
          <cell r="C163" t="str">
            <v>M2</v>
          </cell>
          <cell r="D163">
            <v>68276</v>
          </cell>
        </row>
        <row r="164">
          <cell r="A164">
            <v>596</v>
          </cell>
          <cell r="B164" t="str">
            <v>ESTRUCTURA METÁLICA, INCLUYE ANTICORROSIVO, ACABADO EN PINTURA DE POLIURETANO</v>
          </cell>
          <cell r="C164" t="str">
            <v>KG</v>
          </cell>
          <cell r="D164">
            <v>8613</v>
          </cell>
        </row>
        <row r="165">
          <cell r="A165">
            <v>638</v>
          </cell>
          <cell r="B165" t="str">
            <v>ESTUFA DE GAS DE 3 PUESTOS</v>
          </cell>
          <cell r="C165" t="str">
            <v>UN</v>
          </cell>
          <cell r="D165">
            <v>1045148</v>
          </cell>
        </row>
        <row r="166">
          <cell r="A166">
            <v>631</v>
          </cell>
          <cell r="B166" t="str">
            <v>EXTINTOR</v>
          </cell>
          <cell r="C166" t="str">
            <v>UN</v>
          </cell>
          <cell r="D166">
            <v>70671</v>
          </cell>
        </row>
        <row r="167">
          <cell r="A167">
            <v>507</v>
          </cell>
          <cell r="B167" t="str">
            <v>FACE PLATE BLANCO MARFIL DOBLE</v>
          </cell>
          <cell r="C167" t="str">
            <v>UN</v>
          </cell>
          <cell r="D167">
            <v>12605</v>
          </cell>
        </row>
        <row r="168">
          <cell r="A168">
            <v>181</v>
          </cell>
          <cell r="B168" t="str">
            <v>FLANCHE LATÒN D=0.20, LÀM. GALV. C22</v>
          </cell>
          <cell r="C168" t="str">
            <v>ML</v>
          </cell>
          <cell r="D168">
            <v>27310</v>
          </cell>
        </row>
        <row r="169">
          <cell r="A169">
            <v>624</v>
          </cell>
          <cell r="B169" t="str">
            <v>FLOTADOR DE 3/4"</v>
          </cell>
          <cell r="C169" t="str">
            <v>UN</v>
          </cell>
          <cell r="D169">
            <v>35083</v>
          </cell>
        </row>
        <row r="170">
          <cell r="A170">
            <v>511</v>
          </cell>
          <cell r="B170" t="str">
            <v>Gabinete de 33 u 1626*600*600mm</v>
          </cell>
          <cell r="C170" t="str">
            <v>UN</v>
          </cell>
          <cell r="D170">
            <v>6932640</v>
          </cell>
        </row>
        <row r="171">
          <cell r="A171">
            <v>505</v>
          </cell>
          <cell r="B171" t="str">
            <v>Gabinete de sobreponer para panel de 8 Relés (15,08"*16,5"*4,625")</v>
          </cell>
          <cell r="C171" t="str">
            <v>UN</v>
          </cell>
          <cell r="D171">
            <v>1260480</v>
          </cell>
        </row>
        <row r="172">
          <cell r="A172">
            <v>370</v>
          </cell>
          <cell r="B172" t="str">
            <v>GABINETE TIPO 2 - 2-1/2"</v>
          </cell>
          <cell r="C172" t="str">
            <v>UN</v>
          </cell>
          <cell r="D172">
            <v>1260480</v>
          </cell>
        </row>
        <row r="173">
          <cell r="A173">
            <v>571</v>
          </cell>
          <cell r="B173" t="str">
            <v>GANCHO EN ACERO INOXIDABLE</v>
          </cell>
          <cell r="C173" t="str">
            <v>UN</v>
          </cell>
          <cell r="D173">
            <v>23109</v>
          </cell>
        </row>
        <row r="174">
          <cell r="A174">
            <v>6</v>
          </cell>
          <cell r="B174" t="str">
            <v>GANCHO GALVANIZADO PARA TEJA ETERNIT</v>
          </cell>
          <cell r="C174" t="str">
            <v>UN</v>
          </cell>
          <cell r="D174">
            <v>620</v>
          </cell>
        </row>
        <row r="175">
          <cell r="A175">
            <v>95</v>
          </cell>
          <cell r="B175" t="str">
            <v xml:space="preserve">Gancho toallero </v>
          </cell>
          <cell r="C175" t="str">
            <v>UN</v>
          </cell>
          <cell r="D175">
            <v>11239</v>
          </cell>
        </row>
        <row r="176">
          <cell r="A176">
            <v>599</v>
          </cell>
          <cell r="B176" t="str">
            <v>GÁRGOLA PREFABRICADA EN CONCRETO</v>
          </cell>
          <cell r="C176" t="str">
            <v>UN</v>
          </cell>
          <cell r="D176">
            <v>44117</v>
          </cell>
        </row>
        <row r="177">
          <cell r="A177">
            <v>496</v>
          </cell>
          <cell r="B177" t="str">
            <v>GRAFIL DE 4.0 mm A 8.5 mm</v>
          </cell>
          <cell r="C177" t="str">
            <v>KG</v>
          </cell>
          <cell r="D177">
            <v>2838</v>
          </cell>
        </row>
        <row r="178">
          <cell r="A178">
            <v>57</v>
          </cell>
          <cell r="B178" t="str">
            <v>GRANITO Nº 3</v>
          </cell>
          <cell r="C178" t="str">
            <v>BT</v>
          </cell>
          <cell r="D178">
            <v>13603</v>
          </cell>
        </row>
        <row r="179">
          <cell r="A179">
            <v>126</v>
          </cell>
          <cell r="B179" t="str">
            <v>GRAPA 1"</v>
          </cell>
          <cell r="C179" t="str">
            <v>LB</v>
          </cell>
          <cell r="D179">
            <v>3392</v>
          </cell>
        </row>
        <row r="180">
          <cell r="A180">
            <v>252</v>
          </cell>
          <cell r="B180" t="str">
            <v>GRAVILLA BLANCA 2"</v>
          </cell>
          <cell r="C180" t="str">
            <v>M3</v>
          </cell>
          <cell r="D180">
            <v>105040</v>
          </cell>
        </row>
        <row r="181">
          <cell r="A181">
            <v>229</v>
          </cell>
          <cell r="B181" t="str">
            <v>GRAVILLA MONA</v>
          </cell>
          <cell r="C181" t="str">
            <v>BT</v>
          </cell>
          <cell r="D181">
            <v>16806</v>
          </cell>
        </row>
        <row r="182">
          <cell r="A182">
            <v>607</v>
          </cell>
          <cell r="B182" t="str">
            <v>Grifería en laboratorios sencillo Balta Cruceta de Corona o similar</v>
          </cell>
          <cell r="C182" t="str">
            <v>UN</v>
          </cell>
          <cell r="D182">
            <v>68276</v>
          </cell>
        </row>
        <row r="183">
          <cell r="A183">
            <v>608</v>
          </cell>
          <cell r="B183" t="str">
            <v>Grifería para lavamanos Llave individual vento de corona o similar</v>
          </cell>
          <cell r="C183" t="str">
            <v>UN</v>
          </cell>
          <cell r="D183">
            <v>81406</v>
          </cell>
        </row>
        <row r="184">
          <cell r="A184">
            <v>605</v>
          </cell>
          <cell r="B184" t="str">
            <v>GRIFERÍA LAVAPLATOS CUELLO DE GANSO</v>
          </cell>
          <cell r="C184" t="str">
            <v>UN</v>
          </cell>
          <cell r="D184">
            <v>40861</v>
          </cell>
        </row>
        <row r="185">
          <cell r="A185">
            <v>188</v>
          </cell>
          <cell r="B185" t="str">
            <v>GROUTING</v>
          </cell>
          <cell r="C185" t="str">
            <v>M3</v>
          </cell>
          <cell r="D185">
            <v>426866</v>
          </cell>
        </row>
        <row r="186">
          <cell r="A186">
            <v>288</v>
          </cell>
          <cell r="B186" t="str">
            <v>HIDRÒFUGO FACHADA</v>
          </cell>
          <cell r="C186" t="str">
            <v>GL</v>
          </cell>
          <cell r="D186">
            <v>47268</v>
          </cell>
        </row>
        <row r="187">
          <cell r="A187">
            <v>289</v>
          </cell>
          <cell r="B187" t="str">
            <v>IMPERMEABILIZANTE FACHADA</v>
          </cell>
          <cell r="C187" t="str">
            <v>GL</v>
          </cell>
          <cell r="D187">
            <v>71427</v>
          </cell>
        </row>
        <row r="188">
          <cell r="A188">
            <v>254</v>
          </cell>
          <cell r="B188" t="str">
            <v>IMPERMEABILIZANTE INTEGRAL CONCRETO 21 Mpa</v>
          </cell>
          <cell r="C188" t="str">
            <v>M3</v>
          </cell>
          <cell r="D188">
            <v>26260</v>
          </cell>
        </row>
        <row r="189">
          <cell r="A189">
            <v>338</v>
          </cell>
          <cell r="B189" t="str">
            <v>INCREMENTO BOMBEO</v>
          </cell>
          <cell r="C189" t="str">
            <v>M3</v>
          </cell>
          <cell r="D189">
            <v>36764</v>
          </cell>
        </row>
        <row r="190">
          <cell r="A190">
            <v>497</v>
          </cell>
          <cell r="B190" t="str">
            <v>INTERRUPTOR SENCILLO</v>
          </cell>
          <cell r="C190" t="str">
            <v>UN</v>
          </cell>
          <cell r="D190">
            <v>8042</v>
          </cell>
        </row>
        <row r="191">
          <cell r="A191">
            <v>422</v>
          </cell>
          <cell r="B191" t="str">
            <v>INTERR. AUTOM. ENCHUFABLE 1 * 20 AMP</v>
          </cell>
          <cell r="C191" t="str">
            <v>UN</v>
          </cell>
          <cell r="D191">
            <v>7563</v>
          </cell>
        </row>
        <row r="192">
          <cell r="A192">
            <v>423</v>
          </cell>
          <cell r="B192" t="str">
            <v>INTERR. AUTOM. ENCHUFABLE 3 * 50 AMP</v>
          </cell>
          <cell r="C192" t="str">
            <v>UN</v>
          </cell>
          <cell r="D192">
            <v>44117</v>
          </cell>
        </row>
        <row r="193">
          <cell r="A193">
            <v>425</v>
          </cell>
          <cell r="B193" t="str">
            <v>INTERR. AUTOM. INDUSTRIAL 3 * 70 A, 25 KA</v>
          </cell>
          <cell r="C193" t="str">
            <v>UN</v>
          </cell>
          <cell r="D193">
            <v>367640</v>
          </cell>
        </row>
        <row r="194">
          <cell r="A194">
            <v>502</v>
          </cell>
          <cell r="B194" t="str">
            <v>INTERR. AUTOM. INDUSTRIAL 3 * 60 A, 50 KA</v>
          </cell>
          <cell r="C194" t="str">
            <v>UN</v>
          </cell>
          <cell r="D194">
            <v>262600</v>
          </cell>
        </row>
        <row r="195">
          <cell r="A195">
            <v>503</v>
          </cell>
          <cell r="B195" t="str">
            <v>INTERR. AUTOM. INDUSTRIAL 3 * 40 A, 50 KA</v>
          </cell>
          <cell r="C195" t="str">
            <v>UN</v>
          </cell>
          <cell r="D195">
            <v>241592</v>
          </cell>
        </row>
        <row r="196">
          <cell r="A196">
            <v>501</v>
          </cell>
          <cell r="B196" t="str">
            <v>INTERR. AUTOM. INDUSTRIAL 3 * 175 A, 50 KA</v>
          </cell>
          <cell r="C196" t="str">
            <v>UN</v>
          </cell>
          <cell r="D196">
            <v>504192</v>
          </cell>
        </row>
        <row r="197">
          <cell r="A197">
            <v>424</v>
          </cell>
          <cell r="B197" t="str">
            <v>INTERR. AUTOM. INDUSTRIAL 3 * 60/40 A, 240 VAC 25 KA</v>
          </cell>
          <cell r="C197" t="str">
            <v>UN</v>
          </cell>
          <cell r="D197">
            <v>257348</v>
          </cell>
        </row>
        <row r="198">
          <cell r="A198">
            <v>426</v>
          </cell>
          <cell r="B198" t="str">
            <v>INTERR. AUTOM. INDUSTRIAL 3 * 80 A, 240 VAC 25 KA</v>
          </cell>
          <cell r="C198" t="str">
            <v>UN</v>
          </cell>
          <cell r="D198">
            <v>283608</v>
          </cell>
        </row>
        <row r="199">
          <cell r="A199">
            <v>305</v>
          </cell>
          <cell r="B199" t="str">
            <v>JARDINES</v>
          </cell>
          <cell r="C199" t="str">
            <v>M2</v>
          </cell>
          <cell r="D199">
            <v>105040</v>
          </cell>
        </row>
        <row r="200">
          <cell r="A200">
            <v>512</v>
          </cell>
          <cell r="B200" t="str">
            <v>Juego de 3 soportes de gestión de cables para gabinete de 600 mm ancho y profundidad</v>
          </cell>
          <cell r="C200" t="str">
            <v>JGO</v>
          </cell>
          <cell r="D200">
            <v>210080</v>
          </cell>
        </row>
        <row r="201">
          <cell r="A201">
            <v>570</v>
          </cell>
          <cell r="B201" t="str">
            <v>JUEGO DE INCRUSTAR ROYAL</v>
          </cell>
          <cell r="C201" t="str">
            <v>JGO</v>
          </cell>
          <cell r="D201">
            <v>92435</v>
          </cell>
        </row>
        <row r="202">
          <cell r="A202">
            <v>579</v>
          </cell>
          <cell r="B202" t="str">
            <v>JUEGOS INFANTILES MÓDULO 3</v>
          </cell>
          <cell r="C202" t="str">
            <v>UN</v>
          </cell>
          <cell r="D202">
            <v>8928400</v>
          </cell>
        </row>
        <row r="203">
          <cell r="A203">
            <v>612</v>
          </cell>
          <cell r="B203" t="str">
            <v>JUNTA DE NEOPRENO DE ALTA DENSIDAD</v>
          </cell>
          <cell r="C203" t="str">
            <v>ML</v>
          </cell>
          <cell r="D203">
            <v>67226</v>
          </cell>
        </row>
        <row r="204">
          <cell r="A204">
            <v>586</v>
          </cell>
          <cell r="B204" t="str">
            <v>JUNTA DE EXPANSIÓN DE 4"</v>
          </cell>
          <cell r="C204" t="str">
            <v>UN</v>
          </cell>
          <cell r="D204">
            <v>18886</v>
          </cell>
        </row>
        <row r="205">
          <cell r="A205">
            <v>152</v>
          </cell>
          <cell r="B205" t="str">
            <v>LADRILLO GRAN FORMATO DE SANTAFE</v>
          </cell>
          <cell r="C205" t="str">
            <v>UN</v>
          </cell>
          <cell r="D205">
            <v>1260</v>
          </cell>
        </row>
        <row r="206">
          <cell r="A206">
            <v>114</v>
          </cell>
          <cell r="B206" t="str">
            <v>LADRILLO RECOCIDO</v>
          </cell>
          <cell r="C206" t="str">
            <v>UN</v>
          </cell>
          <cell r="D206">
            <v>616</v>
          </cell>
        </row>
        <row r="207">
          <cell r="A207">
            <v>184</v>
          </cell>
          <cell r="B207" t="str">
            <v>LADRILLO TOLETE COMÙN</v>
          </cell>
          <cell r="C207" t="str">
            <v>UN</v>
          </cell>
          <cell r="D207">
            <v>525</v>
          </cell>
        </row>
        <row r="208">
          <cell r="A208">
            <v>616</v>
          </cell>
          <cell r="B208" t="str">
            <v>LÁMINA DE ICOPOR</v>
          </cell>
          <cell r="C208" t="str">
            <v>M2</v>
          </cell>
          <cell r="D208">
            <v>15756</v>
          </cell>
        </row>
        <row r="209">
          <cell r="A209">
            <v>603</v>
          </cell>
          <cell r="B209" t="str">
            <v>LAVAMANOS DE COLGAR TIPO MILANO DE CORONA O SIMILAR, COLOR BLANCO</v>
          </cell>
          <cell r="C209" t="str">
            <v>UN</v>
          </cell>
          <cell r="D209">
            <v>82561</v>
          </cell>
        </row>
        <row r="210">
          <cell r="A210">
            <v>604</v>
          </cell>
          <cell r="B210" t="str">
            <v>LAVAMANOS DE COLGAR TIPO LÍNEA INFANTIL O SIMILAR, COLOR BLANCO</v>
          </cell>
          <cell r="C210" t="str">
            <v>UN</v>
          </cell>
          <cell r="D210">
            <v>99683</v>
          </cell>
        </row>
        <row r="211">
          <cell r="A211">
            <v>567</v>
          </cell>
          <cell r="B211" t="str">
            <v>LAVAPLATOS EN ACERO INOXIDABLE TANQUE PROFUNDO DE SOBREPONER 0.60 * 0.50 * 0.23 M. DE SOCODA O SIMILAR</v>
          </cell>
          <cell r="C211" t="str">
            <v>UN</v>
          </cell>
          <cell r="D211">
            <v>89179</v>
          </cell>
        </row>
        <row r="212">
          <cell r="A212">
            <v>29</v>
          </cell>
          <cell r="B212" t="str">
            <v>LIMPIADOR REM PVC  - 1/4GAL</v>
          </cell>
          <cell r="C212" t="str">
            <v>UN</v>
          </cell>
          <cell r="D212">
            <v>33161</v>
          </cell>
        </row>
        <row r="213">
          <cell r="A213">
            <v>98</v>
          </cell>
          <cell r="B213" t="str">
            <v>Llave de cocina pesada económica Cromo Corona o Similar</v>
          </cell>
          <cell r="C213" t="str">
            <v>UN</v>
          </cell>
          <cell r="D213">
            <v>16362</v>
          </cell>
        </row>
        <row r="214">
          <cell r="A214">
            <v>128</v>
          </cell>
          <cell r="B214" t="str">
            <v>MAD. ESTACÒN INMUNIZADO 2.50 m</v>
          </cell>
          <cell r="C214" t="str">
            <v>UN</v>
          </cell>
          <cell r="D214">
            <v>27205</v>
          </cell>
        </row>
        <row r="215">
          <cell r="A215">
            <v>613</v>
          </cell>
          <cell r="B215" t="str">
            <v>MADERA ROLLIZA DE 10 * 10</v>
          </cell>
          <cell r="C215" t="str">
            <v>ML</v>
          </cell>
          <cell r="D215">
            <v>4142</v>
          </cell>
        </row>
        <row r="216">
          <cell r="A216">
            <v>144</v>
          </cell>
          <cell r="B216" t="str">
            <v>MALLA ELECTROSOLDADA</v>
          </cell>
          <cell r="C216" t="str">
            <v>KG</v>
          </cell>
          <cell r="D216">
            <v>3512</v>
          </cell>
        </row>
        <row r="217">
          <cell r="A217">
            <v>614</v>
          </cell>
          <cell r="B217" t="str">
            <v>MALLA PARA GAVIONES</v>
          </cell>
          <cell r="C217" t="str">
            <v>UN</v>
          </cell>
          <cell r="D217">
            <v>54621</v>
          </cell>
        </row>
        <row r="218">
          <cell r="A218">
            <v>633</v>
          </cell>
          <cell r="B218" t="str">
            <v>MANGUERA CONEXIÓN CILINDROS</v>
          </cell>
          <cell r="C218" t="str">
            <v>UN</v>
          </cell>
          <cell r="D218">
            <v>32772</v>
          </cell>
        </row>
        <row r="219">
          <cell r="A219">
            <v>375</v>
          </cell>
          <cell r="B219" t="str">
            <v>MANÓMETRO GLICERINA 2"</v>
          </cell>
          <cell r="C219" t="str">
            <v>UN</v>
          </cell>
          <cell r="D219">
            <v>36764</v>
          </cell>
        </row>
        <row r="220">
          <cell r="A220">
            <v>198</v>
          </cell>
          <cell r="B220" t="str">
            <v>MANTO METAL FOIL FL-100 AUTOPROTEGIDO CON UNA CAPA DE ALUMINIO GROFADO FIBERGLASS</v>
          </cell>
          <cell r="C220" t="str">
            <v>M2</v>
          </cell>
          <cell r="D220">
            <v>18734</v>
          </cell>
        </row>
        <row r="221">
          <cell r="A221">
            <v>344</v>
          </cell>
          <cell r="B221" t="str">
            <v>MANUAL DE OPERACIÒN Y MANTENIMIENTO</v>
          </cell>
          <cell r="C221" t="str">
            <v>UN</v>
          </cell>
          <cell r="D221">
            <v>1050400</v>
          </cell>
        </row>
        <row r="222">
          <cell r="A222">
            <v>256</v>
          </cell>
          <cell r="B222" t="str">
            <v>MARCO Y CONTRAMARCO EN ÀNGULO DE 2" * 2"</v>
          </cell>
          <cell r="C222" t="str">
            <v>ML</v>
          </cell>
          <cell r="D222">
            <v>36764</v>
          </cell>
        </row>
        <row r="223">
          <cell r="A223">
            <v>333</v>
          </cell>
          <cell r="B223" t="str">
            <v>MARCO Y CONTRAMARCO C.I. 0.60 * 0.60</v>
          </cell>
          <cell r="C223" t="str">
            <v>UN</v>
          </cell>
          <cell r="D223">
            <v>92435</v>
          </cell>
        </row>
        <row r="224">
          <cell r="A224">
            <v>334</v>
          </cell>
          <cell r="B224" t="str">
            <v>MARCO Y CONTRAMARCO C.I. 1.00 * 1.00</v>
          </cell>
          <cell r="C224" t="str">
            <v>UN</v>
          </cell>
          <cell r="D224">
            <v>47268</v>
          </cell>
        </row>
        <row r="225">
          <cell r="A225">
            <v>335</v>
          </cell>
          <cell r="B225" t="str">
            <v>MARCO Y CONTRAMARCO C.I. 1.20 * 1.20</v>
          </cell>
          <cell r="C225" t="str">
            <v>UN</v>
          </cell>
          <cell r="D225">
            <v>52520</v>
          </cell>
        </row>
        <row r="226">
          <cell r="A226">
            <v>443</v>
          </cell>
          <cell r="B226" t="str">
            <v>MARCO Y CONTRAMARCO CS-275</v>
          </cell>
          <cell r="C226" t="str">
            <v>UN</v>
          </cell>
          <cell r="D226">
            <v>63024</v>
          </cell>
        </row>
        <row r="227">
          <cell r="A227">
            <v>444</v>
          </cell>
          <cell r="B227" t="str">
            <v>MARCO Y CONTRAMARCO CS-276</v>
          </cell>
          <cell r="C227" t="str">
            <v>UN</v>
          </cell>
          <cell r="D227">
            <v>89284</v>
          </cell>
        </row>
        <row r="228">
          <cell r="A228">
            <v>58</v>
          </cell>
          <cell r="B228" t="str">
            <v>MARMOLINA</v>
          </cell>
          <cell r="C228" t="str">
            <v>BT</v>
          </cell>
          <cell r="D228">
            <v>11975</v>
          </cell>
        </row>
        <row r="229">
          <cell r="A229">
            <v>111</v>
          </cell>
          <cell r="B229" t="str">
            <v>MATERIALES DE ASEO</v>
          </cell>
          <cell r="C229" t="str">
            <v>GLB</v>
          </cell>
          <cell r="D229">
            <v>766</v>
          </cell>
        </row>
        <row r="230">
          <cell r="A230">
            <v>630</v>
          </cell>
          <cell r="B230" t="str">
            <v>MATERIAL PARA LAVADO DE TANQUES</v>
          </cell>
          <cell r="C230" t="str">
            <v>GLB</v>
          </cell>
          <cell r="D230">
            <v>131090</v>
          </cell>
        </row>
        <row r="231">
          <cell r="A231">
            <v>134</v>
          </cell>
          <cell r="B231" t="str">
            <v>MEDIDOR TRIFÀSICO ELECTROMAGNÈTICO DE 20-100 A CALIBRADO</v>
          </cell>
          <cell r="C231" t="str">
            <v>UN</v>
          </cell>
          <cell r="D231">
            <v>225889</v>
          </cell>
        </row>
        <row r="232">
          <cell r="A232">
            <v>154</v>
          </cell>
          <cell r="B232" t="str">
            <v>MORTERO 1:3</v>
          </cell>
          <cell r="C232" t="str">
            <v>M3</v>
          </cell>
          <cell r="D232">
            <v>364881</v>
          </cell>
        </row>
        <row r="233">
          <cell r="A233">
            <v>148</v>
          </cell>
          <cell r="B233" t="str">
            <v>MORTERO  1:4</v>
          </cell>
          <cell r="C233" t="str">
            <v>M3</v>
          </cell>
          <cell r="D233">
            <v>311100</v>
          </cell>
        </row>
        <row r="234">
          <cell r="A234">
            <v>518</v>
          </cell>
          <cell r="B234" t="str">
            <v>Mutitoma con cable de 1.8m, 8 salidas, con supresor de 13kA.</v>
          </cell>
          <cell r="C234" t="str">
            <v>UN</v>
          </cell>
          <cell r="D234">
            <v>315120</v>
          </cell>
        </row>
        <row r="235">
          <cell r="A235">
            <v>514</v>
          </cell>
          <cell r="B235" t="str">
            <v>Organizador Horizontal doble delantero trasero con tapa heavy dutty.</v>
          </cell>
          <cell r="C235" t="str">
            <v>UN</v>
          </cell>
          <cell r="D235">
            <v>1155440</v>
          </cell>
        </row>
        <row r="236">
          <cell r="A236">
            <v>601</v>
          </cell>
          <cell r="B236" t="str">
            <v>ORINAL MEDIANO DE ENTRADA SUPERIOR DE CORONA, COLOR BLANCO CON FLUXÓMETRO TIPO PUSH</v>
          </cell>
          <cell r="C236" t="str">
            <v>UN</v>
          </cell>
          <cell r="D236">
            <v>190332</v>
          </cell>
        </row>
        <row r="237">
          <cell r="A237">
            <v>602</v>
          </cell>
          <cell r="B237" t="str">
            <v>ORINAL PEQUEÑO DE ENTRADA SUPERIOR, COLOR BLANCO CON FLUXÓMETRO TIPO PUSH</v>
          </cell>
          <cell r="C237" t="str">
            <v>UN</v>
          </cell>
          <cell r="D237">
            <v>111237</v>
          </cell>
        </row>
        <row r="238">
          <cell r="A238">
            <v>301</v>
          </cell>
          <cell r="B238" t="str">
            <v>ÁRBOL S/ESPECIFICACIONES</v>
          </cell>
          <cell r="C238" t="str">
            <v>UN</v>
          </cell>
          <cell r="D238">
            <v>136552</v>
          </cell>
        </row>
        <row r="239">
          <cell r="A239">
            <v>249</v>
          </cell>
          <cell r="B239" t="str">
            <v>PASAMANOS EN TUBERÍA GALVANIZADA DE 1-1/2", ANCLADO A MURO O BARANDA, INCLUYE ELEMENTOS DE FIJACIÓN, ACABADO NATURAL MATE</v>
          </cell>
          <cell r="C239" t="str">
            <v>ML</v>
          </cell>
          <cell r="D239">
            <v>138653</v>
          </cell>
        </row>
        <row r="240">
          <cell r="A240">
            <v>508</v>
          </cell>
          <cell r="B240" t="str">
            <v>Patch cord 10G, MOD8, (2,7 metros), azul.</v>
          </cell>
          <cell r="C240" t="str">
            <v>UN</v>
          </cell>
          <cell r="D240">
            <v>75629</v>
          </cell>
        </row>
        <row r="241">
          <cell r="A241">
            <v>516</v>
          </cell>
          <cell r="B241" t="str">
            <v>Patch cord 10G, MOD8, 5ft (1,5 metros), azul</v>
          </cell>
          <cell r="C241" t="str">
            <v>UN</v>
          </cell>
          <cell r="D241">
            <v>50419</v>
          </cell>
        </row>
        <row r="242">
          <cell r="A242">
            <v>513</v>
          </cell>
          <cell r="B242" t="str">
            <v>Patch panel preensambaldo de fabrica, de forma curva, para categoría 6A, de 24 puertos, de 1 unidad de rack, con herraje para organización y manejo posterior de cable Datos.</v>
          </cell>
          <cell r="C242" t="str">
            <v>UN</v>
          </cell>
          <cell r="D242">
            <v>1313000</v>
          </cell>
        </row>
        <row r="243">
          <cell r="A243">
            <v>50</v>
          </cell>
          <cell r="B243" t="str">
            <v>PEGACOR</v>
          </cell>
          <cell r="C243" t="str">
            <v>KG</v>
          </cell>
          <cell r="D243">
            <v>1552</v>
          </cell>
        </row>
        <row r="244">
          <cell r="A244">
            <v>137</v>
          </cell>
          <cell r="B244" t="str">
            <v>PIEDRA MEDIA ZONGA</v>
          </cell>
          <cell r="C244" t="str">
            <v>M3</v>
          </cell>
          <cell r="D244">
            <v>44117</v>
          </cell>
        </row>
        <row r="245">
          <cell r="A245">
            <v>61</v>
          </cell>
          <cell r="B245" t="str">
            <v>PINTURA KORAZA</v>
          </cell>
          <cell r="C245" t="str">
            <v>GL</v>
          </cell>
          <cell r="D245">
            <v>83893</v>
          </cell>
        </row>
        <row r="246">
          <cell r="A246">
            <v>55</v>
          </cell>
          <cell r="B246" t="str">
            <v>PINTURA EPÒXICA</v>
          </cell>
          <cell r="C246" t="str">
            <v>GL</v>
          </cell>
          <cell r="D246">
            <v>118905</v>
          </cell>
        </row>
        <row r="247">
          <cell r="A247">
            <v>610</v>
          </cell>
          <cell r="B247" t="str">
            <v>PINTURA TRÁFICO</v>
          </cell>
          <cell r="C247" t="str">
            <v>GL</v>
          </cell>
          <cell r="D247">
            <v>176467</v>
          </cell>
        </row>
        <row r="248">
          <cell r="A248">
            <v>109</v>
          </cell>
          <cell r="B248" t="str">
            <v>PLANCHON ORDINARIO</v>
          </cell>
          <cell r="C248" t="str">
            <v>ML</v>
          </cell>
          <cell r="D248">
            <v>4638</v>
          </cell>
        </row>
        <row r="249">
          <cell r="A249">
            <v>345</v>
          </cell>
          <cell r="B249" t="str">
            <v>PLANOS RÉCORD</v>
          </cell>
          <cell r="C249" t="str">
            <v>UN</v>
          </cell>
          <cell r="D249">
            <v>189072</v>
          </cell>
        </row>
        <row r="250">
          <cell r="A250">
            <v>147</v>
          </cell>
          <cell r="B250" t="str">
            <v>PLASTOCRETE DM</v>
          </cell>
          <cell r="C250" t="str">
            <v>KG</v>
          </cell>
          <cell r="D250">
            <v>9699</v>
          </cell>
        </row>
        <row r="251">
          <cell r="A251">
            <v>138</v>
          </cell>
          <cell r="B251" t="str">
            <v>GEOTEXTIL NT2000 DE PAVCO O SIMILAR</v>
          </cell>
          <cell r="C251" t="str">
            <v>M2</v>
          </cell>
          <cell r="D251">
            <v>4780</v>
          </cell>
        </row>
        <row r="252">
          <cell r="A252">
            <v>250</v>
          </cell>
          <cell r="B252" t="str">
            <v>POLISOMBRA VERDE</v>
          </cell>
          <cell r="C252" t="str">
            <v>M2</v>
          </cell>
          <cell r="D252">
            <v>1786</v>
          </cell>
        </row>
        <row r="253">
          <cell r="A253">
            <v>7</v>
          </cell>
          <cell r="B253" t="str">
            <v>PORTACANDADO</v>
          </cell>
          <cell r="C253" t="str">
            <v>UN</v>
          </cell>
          <cell r="D253">
            <v>1672</v>
          </cell>
        </row>
        <row r="254">
          <cell r="A254">
            <v>142</v>
          </cell>
          <cell r="B254" t="str">
            <v>PROCESO DE PILOTAJE D=0.30 M</v>
          </cell>
          <cell r="C254" t="str">
            <v>ML</v>
          </cell>
          <cell r="D254">
            <v>36554</v>
          </cell>
        </row>
        <row r="255">
          <cell r="A255">
            <v>347</v>
          </cell>
          <cell r="B255" t="str">
            <v>PRUEBA DE REDES</v>
          </cell>
          <cell r="C255" t="str">
            <v>UN</v>
          </cell>
          <cell r="D255">
            <v>262600</v>
          </cell>
        </row>
        <row r="256">
          <cell r="A256">
            <v>527</v>
          </cell>
          <cell r="B256" t="str">
            <v>PUERTA BATIENTE CON MARCO Y PERSIANA EN LÁMINA COLD ROLLED (calibre 18) CON ANTICORROSIVO Y ESMALTE COLOR NEGRO MATE</v>
          </cell>
          <cell r="C256" t="str">
            <v>M2</v>
          </cell>
          <cell r="D256">
            <v>210080</v>
          </cell>
        </row>
        <row r="257">
          <cell r="A257">
            <v>528</v>
          </cell>
          <cell r="B257" t="str">
            <v>PUERTA PLEGABLE CON MARCOS EN LÁMINA COLD ROLLED (calibre 18) Y HOJAS PERSIANA EN LÁMINA METÁLICA</v>
          </cell>
          <cell r="C257" t="str">
            <v>M2</v>
          </cell>
          <cell r="D257">
            <v>210080</v>
          </cell>
        </row>
        <row r="258">
          <cell r="A258">
            <v>529</v>
          </cell>
          <cell r="B258" t="str">
            <v>PUERTA CORREDIZA CON MARCOSEN LÁMINA COLD ROLLED (calibre 18) Y HOJAS DE PERSIANA EN LÁMINA METÁLICA</v>
          </cell>
          <cell r="C258" t="str">
            <v>M2</v>
          </cell>
          <cell r="D258">
            <v>210080</v>
          </cell>
        </row>
        <row r="259">
          <cell r="A259">
            <v>2</v>
          </cell>
          <cell r="B259" t="str">
            <v>PUNTILLA</v>
          </cell>
          <cell r="C259" t="str">
            <v>LB</v>
          </cell>
          <cell r="D259">
            <v>3781</v>
          </cell>
        </row>
        <row r="260">
          <cell r="A260">
            <v>620</v>
          </cell>
          <cell r="B260" t="str">
            <v>RECEBO B-200</v>
          </cell>
          <cell r="C260" t="str">
            <v>M3</v>
          </cell>
          <cell r="D260">
            <v>33613</v>
          </cell>
        </row>
        <row r="261">
          <cell r="A261">
            <v>4</v>
          </cell>
          <cell r="B261" t="str">
            <v>RECEBO COMÚN</v>
          </cell>
          <cell r="C261" t="str">
            <v>M3</v>
          </cell>
          <cell r="D261">
            <v>48495</v>
          </cell>
        </row>
        <row r="262">
          <cell r="A262">
            <v>609</v>
          </cell>
          <cell r="B262" t="str">
            <v>REJA BANCARIA COCINA</v>
          </cell>
          <cell r="C262" t="str">
            <v>M2</v>
          </cell>
          <cell r="D262">
            <v>136552</v>
          </cell>
        </row>
        <row r="263">
          <cell r="A263">
            <v>578</v>
          </cell>
          <cell r="B263" t="str">
            <v>REJA CERRAMIENTO S/DISEÑO SED</v>
          </cell>
          <cell r="C263" t="str">
            <v>ML</v>
          </cell>
          <cell r="D263">
            <v>246844</v>
          </cell>
        </row>
        <row r="264">
          <cell r="A264">
            <v>619</v>
          </cell>
          <cell r="B264" t="str">
            <v>REJA SEPARACIÓN COLEGIO ZONA EXTERIOR</v>
          </cell>
          <cell r="C264" t="str">
            <v>M2</v>
          </cell>
          <cell r="D264">
            <v>136552</v>
          </cell>
        </row>
        <row r="265">
          <cell r="A265">
            <v>284</v>
          </cell>
          <cell r="B265" t="str">
            <v>REJILLA DE ALUMINIO 4" * 3" CON SOSCO Y CÚPULA</v>
          </cell>
          <cell r="C265" t="str">
            <v>UN</v>
          </cell>
          <cell r="D265">
            <v>17647</v>
          </cell>
        </row>
        <row r="266">
          <cell r="A266">
            <v>285</v>
          </cell>
          <cell r="B266" t="str">
            <v xml:space="preserve">REJILLA DE ALUMINIO 4" * 3" CON SOSCO </v>
          </cell>
          <cell r="C266" t="str">
            <v>UN</v>
          </cell>
          <cell r="D266">
            <v>10294</v>
          </cell>
        </row>
        <row r="267">
          <cell r="A267">
            <v>336</v>
          </cell>
          <cell r="B267" t="str">
            <v>REJILLA EN CONCRETO PARA CÀRCAMO</v>
          </cell>
          <cell r="C267" t="str">
            <v>ML</v>
          </cell>
          <cell r="D267">
            <v>47268</v>
          </cell>
        </row>
        <row r="268">
          <cell r="A268">
            <v>274</v>
          </cell>
          <cell r="B268" t="str">
            <v>REJILLA METÀLICA PARA PISO 0.30</v>
          </cell>
          <cell r="C268" t="str">
            <v>UN</v>
          </cell>
          <cell r="D268">
            <v>18907</v>
          </cell>
        </row>
        <row r="269">
          <cell r="A269">
            <v>321</v>
          </cell>
          <cell r="B269" t="str">
            <v>REGISTRO BOLA 1/2", TIPO PESADO</v>
          </cell>
          <cell r="C269" t="str">
            <v>UN</v>
          </cell>
          <cell r="D269">
            <v>28739</v>
          </cell>
        </row>
        <row r="270">
          <cell r="A270">
            <v>320</v>
          </cell>
          <cell r="B270" t="str">
            <v>REGISTRO P/D DE ROSCAR 1/2", TIPO PESADO</v>
          </cell>
          <cell r="C270" t="str">
            <v>UN</v>
          </cell>
          <cell r="D270">
            <v>22887</v>
          </cell>
        </row>
        <row r="271">
          <cell r="A271">
            <v>319</v>
          </cell>
          <cell r="B271" t="str">
            <v>REGISTRO P/D DE ROSCAR 3/4", TIPO PESADO</v>
          </cell>
          <cell r="C271" t="str">
            <v>UN</v>
          </cell>
          <cell r="D271">
            <v>28240</v>
          </cell>
        </row>
        <row r="272">
          <cell r="A272">
            <v>318</v>
          </cell>
          <cell r="B272" t="str">
            <v>REGISTRO P/D DE ROSCAR 1", TIPO PESADO</v>
          </cell>
          <cell r="C272" t="str">
            <v>UN</v>
          </cell>
          <cell r="D272">
            <v>39638</v>
          </cell>
        </row>
        <row r="273">
          <cell r="A273">
            <v>317</v>
          </cell>
          <cell r="B273" t="str">
            <v>REGISTRO P/D DE ROSCAR 1-1/4", TIPO PESADO</v>
          </cell>
          <cell r="C273" t="str">
            <v>UN</v>
          </cell>
          <cell r="D273">
            <v>74911</v>
          </cell>
        </row>
        <row r="274">
          <cell r="A274">
            <v>316</v>
          </cell>
          <cell r="B274" t="str">
            <v>REGISTRO P/D DE ROSCAR 2", TIPO PESADO</v>
          </cell>
          <cell r="C274" t="str">
            <v>UN</v>
          </cell>
          <cell r="D274">
            <v>164352</v>
          </cell>
        </row>
        <row r="275">
          <cell r="A275">
            <v>37</v>
          </cell>
          <cell r="B275" t="str">
            <v>REGISTRO RW 3/4"</v>
          </cell>
          <cell r="C275" t="str">
            <v>UN</v>
          </cell>
          <cell r="D275">
            <v>34453</v>
          </cell>
        </row>
        <row r="276">
          <cell r="A276">
            <v>118</v>
          </cell>
          <cell r="B276" t="str">
            <v>REGISTRO RW 1"</v>
          </cell>
          <cell r="C276" t="str">
            <v>UN</v>
          </cell>
          <cell r="D276">
            <v>130313</v>
          </cell>
        </row>
        <row r="277">
          <cell r="A277">
            <v>635</v>
          </cell>
          <cell r="B277" t="str">
            <v>REGULADOR PRIMERA ETAPA</v>
          </cell>
          <cell r="C277" t="str">
            <v>UN</v>
          </cell>
          <cell r="D277">
            <v>41512</v>
          </cell>
        </row>
        <row r="278">
          <cell r="A278">
            <v>11</v>
          </cell>
          <cell r="B278" t="str">
            <v>REPISA ORDINARIO</v>
          </cell>
          <cell r="C278" t="str">
            <v>ML</v>
          </cell>
          <cell r="D278">
            <v>1812</v>
          </cell>
        </row>
        <row r="279">
          <cell r="A279">
            <v>87</v>
          </cell>
          <cell r="B279" t="str">
            <v>SANITARIO TIPO KIDDY DE CORONA O SIMILAR, LÍNEA INFANTIL DE UNA SOLA PIEZA, COLOR BLANCO TIPO AHORRADOR</v>
          </cell>
          <cell r="C279" t="str">
            <v>UN</v>
          </cell>
          <cell r="D279">
            <v>359237</v>
          </cell>
        </row>
        <row r="280">
          <cell r="A280">
            <v>569</v>
          </cell>
          <cell r="B280" t="str">
            <v>SANITARIO TIPO AVANTI PLUS CORONA COLOR BLANCO</v>
          </cell>
          <cell r="C280" t="str">
            <v>UN</v>
          </cell>
          <cell r="D280">
            <v>234134</v>
          </cell>
        </row>
        <row r="281">
          <cell r="A281">
            <v>600</v>
          </cell>
          <cell r="B281" t="str">
            <v>SANITARIO TIPO AQUAJET DE CORONA O SIMILAR, COLOR BLANCO, TIPO AHORRADOR, LÍNEA INSTITUCIONAL</v>
          </cell>
          <cell r="C281" t="str">
            <v>UN</v>
          </cell>
          <cell r="D281">
            <v>368585</v>
          </cell>
        </row>
        <row r="282">
          <cell r="A282">
            <v>290</v>
          </cell>
          <cell r="B282" t="str">
            <v>SARDINEL PREFABRICADO A-10</v>
          </cell>
          <cell r="C282" t="str">
            <v>UN</v>
          </cell>
          <cell r="D282">
            <v>33613</v>
          </cell>
        </row>
        <row r="283">
          <cell r="A283">
            <v>591</v>
          </cell>
          <cell r="B283" t="str">
            <v>SELLADOR ETERNA</v>
          </cell>
          <cell r="C283" t="str">
            <v>UN</v>
          </cell>
          <cell r="D283">
            <v>14338</v>
          </cell>
        </row>
        <row r="284">
          <cell r="A284">
            <v>506</v>
          </cell>
          <cell r="B284" t="str">
            <v>Sensor 24 VDC, tecnologia PIR con fotocelda para manejo de nivel de luz y con relé aislado, cobertura: 360º, hasta 46,5m2.OS pasivo</v>
          </cell>
          <cell r="C284" t="str">
            <v>UN</v>
          </cell>
          <cell r="D284">
            <v>262600</v>
          </cell>
        </row>
        <row r="285">
          <cell r="A285">
            <v>373</v>
          </cell>
          <cell r="B285" t="str">
            <v>SENSOR DE FLUJO 3"</v>
          </cell>
          <cell r="C285" t="str">
            <v>UN</v>
          </cell>
          <cell r="D285">
            <v>422611</v>
          </cell>
        </row>
        <row r="286">
          <cell r="A286">
            <v>31</v>
          </cell>
          <cell r="B286" t="str">
            <v>SIFÓN PVC-S 3"</v>
          </cell>
          <cell r="C286" t="str">
            <v>UN</v>
          </cell>
          <cell r="D286">
            <v>10294</v>
          </cell>
        </row>
        <row r="287">
          <cell r="A287">
            <v>22</v>
          </cell>
          <cell r="B287" t="str">
            <v>SIKA 1</v>
          </cell>
          <cell r="C287" t="str">
            <v>KG</v>
          </cell>
          <cell r="D287">
            <v>8128</v>
          </cell>
        </row>
        <row r="288">
          <cell r="A288">
            <v>431</v>
          </cell>
          <cell r="B288" t="str">
            <v>SOLDADURA CAD WELL 115 GR</v>
          </cell>
          <cell r="C288" t="str">
            <v>UN</v>
          </cell>
          <cell r="D288">
            <v>12605</v>
          </cell>
        </row>
        <row r="289">
          <cell r="A289">
            <v>30</v>
          </cell>
          <cell r="B289" t="str">
            <v>SOLDADURA PVC 1/4 GAL</v>
          </cell>
          <cell r="C289" t="str">
            <v>UN</v>
          </cell>
          <cell r="D289">
            <v>42646</v>
          </cell>
        </row>
        <row r="290">
          <cell r="A290">
            <v>178</v>
          </cell>
          <cell r="B290" t="str">
            <v>SOPORTE CANAL PVC DE 3"</v>
          </cell>
          <cell r="C290" t="str">
            <v>UN</v>
          </cell>
          <cell r="D290">
            <v>1786</v>
          </cell>
        </row>
        <row r="291">
          <cell r="A291">
            <v>519</v>
          </cell>
          <cell r="B291" t="str">
            <v>Strip telefónico general con capacidad para 50 pares según normas, incluye 1 mini bloques de 50 pares de tipo inserción incluye elementos de fijación marcación  60x60*15</v>
          </cell>
          <cell r="C291" t="str">
            <v>UN</v>
          </cell>
          <cell r="D291">
            <v>357136</v>
          </cell>
        </row>
        <row r="292">
          <cell r="A292">
            <v>17</v>
          </cell>
          <cell r="B292" t="str">
            <v>TABLA BURRA ORDINARIO 0.20 m</v>
          </cell>
          <cell r="C292" t="str">
            <v>ML</v>
          </cell>
          <cell r="D292">
            <v>3781</v>
          </cell>
        </row>
        <row r="293">
          <cell r="A293">
            <v>140</v>
          </cell>
          <cell r="B293" t="str">
            <v>TABLA BURRA ORDINARIO 0.30 m</v>
          </cell>
          <cell r="C293" t="str">
            <v>ML</v>
          </cell>
          <cell r="D293">
            <v>5252</v>
          </cell>
        </row>
        <row r="294">
          <cell r="A294">
            <v>139</v>
          </cell>
          <cell r="B294" t="str">
            <v>TABLA CHAPA ORDINARIO 0.10 m</v>
          </cell>
          <cell r="C294" t="str">
            <v>ML</v>
          </cell>
          <cell r="D294">
            <v>2640</v>
          </cell>
        </row>
        <row r="295">
          <cell r="A295">
            <v>8</v>
          </cell>
          <cell r="B295" t="str">
            <v>TABLA CHAPA ORDINARIO 0.28 m</v>
          </cell>
          <cell r="C295" t="str">
            <v>ML</v>
          </cell>
          <cell r="D295">
            <v>2931</v>
          </cell>
        </row>
        <row r="296">
          <cell r="A296">
            <v>419</v>
          </cell>
          <cell r="B296" t="str">
            <v>TABLERO DE 12 CIRCUITOS</v>
          </cell>
          <cell r="C296" t="str">
            <v>UN</v>
          </cell>
          <cell r="D296">
            <v>252096</v>
          </cell>
        </row>
        <row r="297">
          <cell r="A297">
            <v>420</v>
          </cell>
          <cell r="B297" t="str">
            <v>TABLERO DE 18 CIRCUITOS</v>
          </cell>
          <cell r="C297" t="str">
            <v>UN</v>
          </cell>
          <cell r="D297">
            <v>357136</v>
          </cell>
        </row>
        <row r="298">
          <cell r="A298">
            <v>625</v>
          </cell>
          <cell r="B298" t="str">
            <v>TANQUE PLÁSTICO LÍNEA BAJA PARA ALMACENAMIENTO DE AGUA DE 1000 LITROS</v>
          </cell>
          <cell r="C298" t="str">
            <v>UN</v>
          </cell>
          <cell r="D298">
            <v>391799</v>
          </cell>
        </row>
        <row r="299">
          <cell r="A299">
            <v>618</v>
          </cell>
          <cell r="B299" t="str">
            <v>TANQUE PLÁSTICO LÍNEA BAJA PARA ALMACENAMIENTO DE AGUA DE 2000 LITROS</v>
          </cell>
          <cell r="C299" t="str">
            <v>UN</v>
          </cell>
          <cell r="D299">
            <v>714272</v>
          </cell>
        </row>
        <row r="300">
          <cell r="A300">
            <v>510</v>
          </cell>
          <cell r="B300" t="str">
            <v>Tapa troquel metálica 15 cm</v>
          </cell>
          <cell r="C300" t="str">
            <v>UN</v>
          </cell>
          <cell r="D300">
            <v>8928</v>
          </cell>
        </row>
        <row r="301">
          <cell r="A301">
            <v>32</v>
          </cell>
          <cell r="B301" t="str">
            <v>TAPÒN DE INSPECCIÒN 4"</v>
          </cell>
          <cell r="C301" t="str">
            <v>UN</v>
          </cell>
          <cell r="D301">
            <v>25142</v>
          </cell>
        </row>
        <row r="302">
          <cell r="A302">
            <v>9</v>
          </cell>
          <cell r="B302" t="str">
            <v>TEJA ONDULADA Nº 6, PERFIL 7</v>
          </cell>
          <cell r="C302" t="str">
            <v>UN</v>
          </cell>
          <cell r="D302">
            <v>29852</v>
          </cell>
        </row>
        <row r="303">
          <cell r="A303">
            <v>44</v>
          </cell>
          <cell r="B303" t="str">
            <v>TEJA METÀLICA TERMOACÚSTICA</v>
          </cell>
          <cell r="C303" t="str">
            <v>M2</v>
          </cell>
          <cell r="D303">
            <v>78257</v>
          </cell>
        </row>
        <row r="304">
          <cell r="A304">
            <v>617</v>
          </cell>
          <cell r="B304" t="str">
            <v>TEJA TRANSLÚCIDA DE POLICARBONATO ALVEOLAR</v>
          </cell>
          <cell r="C304" t="str">
            <v>M2</v>
          </cell>
          <cell r="D304">
            <v>91280</v>
          </cell>
        </row>
        <row r="305">
          <cell r="A305">
            <v>108</v>
          </cell>
          <cell r="B305" t="str">
            <v>TIERRA NEGRA</v>
          </cell>
          <cell r="C305" t="str">
            <v>M3</v>
          </cell>
          <cell r="D305">
            <v>42016</v>
          </cell>
        </row>
        <row r="306">
          <cell r="A306">
            <v>389</v>
          </cell>
          <cell r="B306" t="str">
            <v>TOMACORRIENTE BIFÀSICO</v>
          </cell>
          <cell r="C306" t="str">
            <v>UN</v>
          </cell>
          <cell r="D306">
            <v>9979</v>
          </cell>
        </row>
        <row r="307">
          <cell r="A307">
            <v>386</v>
          </cell>
          <cell r="B307" t="str">
            <v>TOMACORRIENTE DOBLE PT</v>
          </cell>
          <cell r="C307" t="str">
            <v>UN</v>
          </cell>
          <cell r="D307">
            <v>7143</v>
          </cell>
        </row>
        <row r="308">
          <cell r="A308">
            <v>387</v>
          </cell>
          <cell r="B308" t="str">
            <v>TOMACORRIENTE DOBLE REGULADO PT</v>
          </cell>
          <cell r="C308" t="str">
            <v>UN</v>
          </cell>
          <cell r="D308">
            <v>9244</v>
          </cell>
        </row>
        <row r="309">
          <cell r="A309">
            <v>388</v>
          </cell>
          <cell r="B309" t="str">
            <v>TOMACORRIENTE DOBLE PT - GFCI</v>
          </cell>
          <cell r="C309" t="str">
            <v>UN</v>
          </cell>
          <cell r="D309">
            <v>23529</v>
          </cell>
        </row>
        <row r="310">
          <cell r="A310">
            <v>493</v>
          </cell>
          <cell r="B310" t="str">
            <v>TOMA TELEFÓNICA</v>
          </cell>
          <cell r="C310" t="str">
            <v>UN</v>
          </cell>
          <cell r="D310">
            <v>13130</v>
          </cell>
        </row>
        <row r="311">
          <cell r="A311">
            <v>499</v>
          </cell>
          <cell r="B311" t="str">
            <v>TOMA TELEVISIÓN</v>
          </cell>
          <cell r="C311" t="str">
            <v>UN</v>
          </cell>
          <cell r="D311">
            <v>13130</v>
          </cell>
        </row>
        <row r="312">
          <cell r="A312">
            <v>133</v>
          </cell>
          <cell r="B312" t="str">
            <v>TOMA TRIFÀSICA INCRUSTAR 50 A</v>
          </cell>
          <cell r="C312" t="str">
            <v>UN</v>
          </cell>
          <cell r="D312">
            <v>13097</v>
          </cell>
        </row>
        <row r="313">
          <cell r="A313">
            <v>628</v>
          </cell>
          <cell r="B313" t="str">
            <v>TRAMPA DE GRASAS PREFABRICADA</v>
          </cell>
          <cell r="C313" t="str">
            <v>UN</v>
          </cell>
          <cell r="D313">
            <v>1076030</v>
          </cell>
        </row>
        <row r="314">
          <cell r="A314">
            <v>509</v>
          </cell>
          <cell r="B314" t="str">
            <v>Tracjack, Cat6A, UTP 10G Rojo</v>
          </cell>
          <cell r="C314" t="str">
            <v>UN</v>
          </cell>
          <cell r="D314">
            <v>42016</v>
          </cell>
        </row>
        <row r="315">
          <cell r="A315">
            <v>504</v>
          </cell>
          <cell r="B315" t="str">
            <v>Transferencia Automatica monocuenta 3x208 VAC, 50A para bombas contra incendio.</v>
          </cell>
          <cell r="C315" t="str">
            <v>UN</v>
          </cell>
          <cell r="D315">
            <v>1313000</v>
          </cell>
        </row>
        <row r="316">
          <cell r="A316">
            <v>588</v>
          </cell>
          <cell r="B316" t="str">
            <v>TRAGANTE DE 4" - 3"</v>
          </cell>
          <cell r="C316" t="str">
            <v>UN</v>
          </cell>
          <cell r="D316">
            <v>26785</v>
          </cell>
        </row>
        <row r="317">
          <cell r="A317">
            <v>183</v>
          </cell>
          <cell r="B317" t="str">
            <v>TRAGANTE DE 6"</v>
          </cell>
          <cell r="C317" t="str">
            <v>UN</v>
          </cell>
          <cell r="D317">
            <v>29411</v>
          </cell>
        </row>
        <row r="318">
          <cell r="A318">
            <v>122</v>
          </cell>
          <cell r="B318" t="str">
            <v>TRITURADO DE RIO</v>
          </cell>
          <cell r="C318" t="str">
            <v>M3</v>
          </cell>
          <cell r="D318">
            <v>115544</v>
          </cell>
        </row>
        <row r="319">
          <cell r="A319">
            <v>187</v>
          </cell>
          <cell r="B319" t="str">
            <v>TRITURADO FINO DE RIO</v>
          </cell>
          <cell r="C319" t="str">
            <v>M3</v>
          </cell>
          <cell r="D319">
            <v>115544</v>
          </cell>
        </row>
        <row r="320">
          <cell r="A320">
            <v>589</v>
          </cell>
          <cell r="B320" t="str">
            <v>TUBO ACERO CSC SCH 40 - 1/2"</v>
          </cell>
          <cell r="C320" t="str">
            <v>ML</v>
          </cell>
          <cell r="D320">
            <v>65125</v>
          </cell>
        </row>
        <row r="321">
          <cell r="A321">
            <v>636</v>
          </cell>
          <cell r="B321" t="str">
            <v>TUBO COBRE 1/2"</v>
          </cell>
          <cell r="C321" t="str">
            <v>ML</v>
          </cell>
          <cell r="D321">
            <v>10706</v>
          </cell>
        </row>
        <row r="322">
          <cell r="A322">
            <v>434</v>
          </cell>
          <cell r="B322" t="str">
            <v>TUBO CONDUIT GALVANIZADO 1"</v>
          </cell>
          <cell r="C322" t="str">
            <v>ML</v>
          </cell>
          <cell r="D322">
            <v>5011</v>
          </cell>
        </row>
        <row r="323">
          <cell r="A323">
            <v>447</v>
          </cell>
          <cell r="B323" t="str">
            <v>TUBO CONDUIT EMT 1"</v>
          </cell>
          <cell r="C323" t="str">
            <v>ML</v>
          </cell>
          <cell r="D323">
            <v>7953</v>
          </cell>
        </row>
        <row r="324">
          <cell r="A324">
            <v>452</v>
          </cell>
          <cell r="B324" t="str">
            <v>TUBO CONDUIT EMT 3/4"</v>
          </cell>
          <cell r="C324" t="str">
            <v>ML</v>
          </cell>
          <cell r="D324">
            <v>5405</v>
          </cell>
        </row>
        <row r="325">
          <cell r="A325">
            <v>381</v>
          </cell>
          <cell r="B325" t="str">
            <v>TUBO PVC CONDUIT 3/4"</v>
          </cell>
          <cell r="C325" t="str">
            <v>ML</v>
          </cell>
          <cell r="D325">
            <v>3115</v>
          </cell>
        </row>
        <row r="326">
          <cell r="A326">
            <v>390</v>
          </cell>
          <cell r="B326" t="str">
            <v>TUBO PVC CONDUIT 1"</v>
          </cell>
          <cell r="C326" t="str">
            <v>ML</v>
          </cell>
          <cell r="D326">
            <v>4317</v>
          </cell>
        </row>
        <row r="327">
          <cell r="A327">
            <v>395</v>
          </cell>
          <cell r="B327" t="str">
            <v>TUBO PVC CONDUIT 1-1/4"</v>
          </cell>
          <cell r="C327" t="str">
            <v>ML</v>
          </cell>
          <cell r="D327">
            <v>5750</v>
          </cell>
        </row>
        <row r="328">
          <cell r="A328">
            <v>397</v>
          </cell>
          <cell r="B328" t="str">
            <v>TUBO PVC CONDUIT 1-1/2"</v>
          </cell>
          <cell r="C328" t="str">
            <v>ML</v>
          </cell>
          <cell r="D328">
            <v>8504</v>
          </cell>
        </row>
        <row r="329">
          <cell r="A329">
            <v>399</v>
          </cell>
          <cell r="B329" t="str">
            <v>TUBO PVC CONDUIT 2"</v>
          </cell>
          <cell r="C329" t="str">
            <v>ML</v>
          </cell>
          <cell r="D329">
            <v>13081</v>
          </cell>
        </row>
        <row r="330">
          <cell r="A330">
            <v>401</v>
          </cell>
          <cell r="B330" t="str">
            <v>TUBO PVC CONDUIT 3"</v>
          </cell>
          <cell r="C330" t="str">
            <v>ML</v>
          </cell>
          <cell r="D330">
            <v>11172</v>
          </cell>
        </row>
        <row r="331">
          <cell r="A331">
            <v>327</v>
          </cell>
          <cell r="B331" t="str">
            <v>TUBO PVC L 2"</v>
          </cell>
          <cell r="C331" t="str">
            <v>ML</v>
          </cell>
          <cell r="D331">
            <v>8109</v>
          </cell>
        </row>
        <row r="332">
          <cell r="A332">
            <v>326</v>
          </cell>
          <cell r="B332" t="str">
            <v>TUBO PVC L 3"</v>
          </cell>
          <cell r="C332" t="str">
            <v>ML</v>
          </cell>
          <cell r="D332">
            <v>10822</v>
          </cell>
        </row>
        <row r="333">
          <cell r="A333">
            <v>325</v>
          </cell>
          <cell r="B333" t="str">
            <v>TUBO PVC L 4"</v>
          </cell>
          <cell r="C333" t="str">
            <v>ML</v>
          </cell>
          <cell r="D333">
            <v>18663</v>
          </cell>
        </row>
        <row r="334">
          <cell r="A334">
            <v>112</v>
          </cell>
          <cell r="B334" t="str">
            <v>TUBO PVC N 6"</v>
          </cell>
          <cell r="C334" t="str">
            <v>ML</v>
          </cell>
          <cell r="D334">
            <v>26466</v>
          </cell>
        </row>
        <row r="335">
          <cell r="A335">
            <v>341</v>
          </cell>
          <cell r="B335" t="str">
            <v>TUBO PVC N 8"</v>
          </cell>
          <cell r="C335" t="str">
            <v>ML</v>
          </cell>
          <cell r="D335">
            <v>35454</v>
          </cell>
        </row>
        <row r="336">
          <cell r="A336">
            <v>587</v>
          </cell>
          <cell r="B336" t="str">
            <v>TUBO PVC N 16"</v>
          </cell>
          <cell r="C336" t="str">
            <v>ML</v>
          </cell>
          <cell r="D336">
            <v>126048</v>
          </cell>
        </row>
        <row r="337">
          <cell r="A337">
            <v>35</v>
          </cell>
          <cell r="B337" t="str">
            <v>TUBO PVCP 1/2" RDE 9</v>
          </cell>
          <cell r="C337" t="str">
            <v>ML</v>
          </cell>
          <cell r="D337">
            <v>3685</v>
          </cell>
        </row>
        <row r="338">
          <cell r="A338">
            <v>311</v>
          </cell>
          <cell r="B338" t="str">
            <v>TUBO PVCP 3/4" RDE 11</v>
          </cell>
          <cell r="C338" t="str">
            <v>ML</v>
          </cell>
          <cell r="D338">
            <v>4908</v>
          </cell>
        </row>
        <row r="339">
          <cell r="A339">
            <v>116</v>
          </cell>
          <cell r="B339" t="str">
            <v>TUBO PVCP 1" RDE 13.5</v>
          </cell>
          <cell r="C339" t="str">
            <v>ML</v>
          </cell>
          <cell r="D339">
            <v>7149</v>
          </cell>
        </row>
        <row r="340">
          <cell r="A340">
            <v>310</v>
          </cell>
          <cell r="B340" t="str">
            <v>TUBO PVCP 1-1/4" RDE 21</v>
          </cell>
          <cell r="C340" t="str">
            <v>ML</v>
          </cell>
          <cell r="D340">
            <v>8236</v>
          </cell>
        </row>
        <row r="341">
          <cell r="A341">
            <v>309</v>
          </cell>
          <cell r="B341" t="str">
            <v>TUBO PVCP 1-1/2" RDE 21</v>
          </cell>
          <cell r="C341" t="str">
            <v>ML</v>
          </cell>
          <cell r="D341">
            <v>11615</v>
          </cell>
        </row>
        <row r="342">
          <cell r="A342">
            <v>308</v>
          </cell>
          <cell r="B342" t="str">
            <v>TUBO PVCP 2" RDE 21</v>
          </cell>
          <cell r="C342" t="str">
            <v>ML</v>
          </cell>
          <cell r="D342">
            <v>17810</v>
          </cell>
        </row>
        <row r="343">
          <cell r="A343">
            <v>580</v>
          </cell>
          <cell r="B343" t="str">
            <v>TUBO PVCP 2-1/2" RDE 21</v>
          </cell>
          <cell r="C343" t="str">
            <v>ML</v>
          </cell>
          <cell r="D343">
            <v>28864</v>
          </cell>
        </row>
        <row r="344">
          <cell r="A344">
            <v>120</v>
          </cell>
          <cell r="B344" t="str">
            <v>TUBO PVCP 3" RDE 21</v>
          </cell>
          <cell r="C344" t="str">
            <v>ML</v>
          </cell>
          <cell r="D344">
            <v>38537</v>
          </cell>
        </row>
        <row r="345">
          <cell r="A345">
            <v>23</v>
          </cell>
          <cell r="B345" t="str">
            <v>TUBO PVC S 2"</v>
          </cell>
          <cell r="C345" t="str">
            <v>ML</v>
          </cell>
          <cell r="D345">
            <v>12376</v>
          </cell>
        </row>
        <row r="346">
          <cell r="A346">
            <v>24</v>
          </cell>
          <cell r="B346" t="str">
            <v>TUBO PVC S 3"</v>
          </cell>
          <cell r="C346" t="str">
            <v>ML</v>
          </cell>
          <cell r="D346">
            <v>18486</v>
          </cell>
        </row>
        <row r="347">
          <cell r="A347">
            <v>25</v>
          </cell>
          <cell r="B347" t="str">
            <v>TUBO PVC S 4"</v>
          </cell>
          <cell r="C347" t="str">
            <v>ML</v>
          </cell>
          <cell r="D347">
            <v>25761</v>
          </cell>
        </row>
        <row r="348">
          <cell r="A348">
            <v>585</v>
          </cell>
          <cell r="B348" t="str">
            <v>TUBO PVC S 6"</v>
          </cell>
          <cell r="C348" t="str">
            <v>ML</v>
          </cell>
          <cell r="D348">
            <v>54553</v>
          </cell>
        </row>
        <row r="349">
          <cell r="A349">
            <v>521</v>
          </cell>
          <cell r="B349" t="str">
            <v>UPS 5 KVA, Trifásica 208/120V, True On line doble conversión entrada salida, autonomia de 7 Minutos al 100% , incluye accesorios de conexionado.</v>
          </cell>
          <cell r="C349" t="str">
            <v>UN</v>
          </cell>
          <cell r="D349">
            <v>2815072</v>
          </cell>
        </row>
        <row r="350">
          <cell r="A350">
            <v>251</v>
          </cell>
          <cell r="B350" t="str">
            <v>VALLA INFORMATIVA</v>
          </cell>
          <cell r="C350" t="str">
            <v>M2</v>
          </cell>
          <cell r="D350">
            <v>47268</v>
          </cell>
        </row>
        <row r="351">
          <cell r="A351">
            <v>337</v>
          </cell>
          <cell r="B351" t="str">
            <v>VÁLVULA DE BOLA 1/2"</v>
          </cell>
          <cell r="C351" t="str">
            <v>UN</v>
          </cell>
          <cell r="D351">
            <v>18802</v>
          </cell>
        </row>
        <row r="352">
          <cell r="A352">
            <v>584</v>
          </cell>
          <cell r="B352" t="str">
            <v>VÁLVULA DE BOLA 3/4"</v>
          </cell>
          <cell r="C352" t="str">
            <v>UN</v>
          </cell>
          <cell r="D352">
            <v>17837</v>
          </cell>
        </row>
        <row r="353">
          <cell r="A353">
            <v>583</v>
          </cell>
          <cell r="B353" t="str">
            <v>VÁLVULA DE BOLA 1"</v>
          </cell>
          <cell r="C353" t="str">
            <v>UN</v>
          </cell>
          <cell r="D353">
            <v>16596</v>
          </cell>
        </row>
        <row r="354">
          <cell r="A354">
            <v>582</v>
          </cell>
          <cell r="B354" t="str">
            <v>VÁLVULA DE BOLA 1-1/4"</v>
          </cell>
          <cell r="C354" t="str">
            <v>UN</v>
          </cell>
          <cell r="D354">
            <v>36285</v>
          </cell>
        </row>
        <row r="355">
          <cell r="A355">
            <v>367</v>
          </cell>
          <cell r="B355" t="str">
            <v>VÁLVULA DE BOLA LISTADA 1"</v>
          </cell>
          <cell r="C355" t="str">
            <v>UN</v>
          </cell>
          <cell r="D355">
            <v>22907</v>
          </cell>
        </row>
        <row r="356">
          <cell r="A356">
            <v>366</v>
          </cell>
          <cell r="B356" t="str">
            <v>VÁLVULA DE MARIPOSA 4" LISTADA</v>
          </cell>
          <cell r="C356" t="str">
            <v>UN</v>
          </cell>
          <cell r="D356">
            <v>257949</v>
          </cell>
        </row>
        <row r="357">
          <cell r="A357">
            <v>372</v>
          </cell>
          <cell r="B357" t="str">
            <v>VÁLVULA DE MARIPOSA INDICADORA 3" LISTADA</v>
          </cell>
          <cell r="C357" t="str">
            <v>UN</v>
          </cell>
          <cell r="D357">
            <v>193462</v>
          </cell>
        </row>
        <row r="358">
          <cell r="A358">
            <v>368</v>
          </cell>
          <cell r="B358" t="str">
            <v>VÁLVULA EXPULSORA DE AIRE 1-1/2"</v>
          </cell>
          <cell r="C358" t="str">
            <v>UN</v>
          </cell>
          <cell r="D358">
            <v>37042</v>
          </cell>
        </row>
        <row r="359">
          <cell r="A359">
            <v>430</v>
          </cell>
          <cell r="B359" t="str">
            <v>VARILLA COBRE-COBRE 5/8" * 2.40 M</v>
          </cell>
          <cell r="C359" t="str">
            <v>UN</v>
          </cell>
          <cell r="D359">
            <v>69116</v>
          </cell>
        </row>
        <row r="360">
          <cell r="A360">
            <v>536</v>
          </cell>
          <cell r="B360" t="str">
            <v>VENTANA EN LÁMINA COLD ROLLED CAL. 18, TIPO REJILLA</v>
          </cell>
          <cell r="C360" t="str">
            <v>M2</v>
          </cell>
          <cell r="D360">
            <v>157560</v>
          </cell>
        </row>
        <row r="361">
          <cell r="A361">
            <v>119</v>
          </cell>
          <cell r="B361" t="str">
            <v>VÁLVULA DE RETENCIÒN 1"</v>
          </cell>
          <cell r="C361" t="str">
            <v>UN</v>
          </cell>
          <cell r="D361">
            <v>88296</v>
          </cell>
        </row>
        <row r="362">
          <cell r="A362">
            <v>10</v>
          </cell>
          <cell r="B362" t="str">
            <v>VARA DE CLAVO</v>
          </cell>
          <cell r="C362" t="str">
            <v>ML</v>
          </cell>
          <cell r="D362">
            <v>1617</v>
          </cell>
        </row>
        <row r="363">
          <cell r="A363">
            <v>48</v>
          </cell>
          <cell r="B363" t="str">
            <v>VINILTEX</v>
          </cell>
          <cell r="C363" t="str">
            <v>GL</v>
          </cell>
          <cell r="D363">
            <v>69886</v>
          </cell>
        </row>
        <row r="364">
          <cell r="A364">
            <v>572</v>
          </cell>
          <cell r="B364" t="str">
            <v>YESO</v>
          </cell>
          <cell r="C364" t="str">
            <v>BT</v>
          </cell>
          <cell r="D364">
            <v>16649</v>
          </cell>
        </row>
        <row r="365">
          <cell r="A365">
            <v>52</v>
          </cell>
          <cell r="B365" t="str">
            <v>WIN PLÀSTICO</v>
          </cell>
          <cell r="C365" t="str">
            <v>ML</v>
          </cell>
          <cell r="D365">
            <v>4727</v>
          </cell>
        </row>
        <row r="366">
          <cell r="A366">
            <v>800</v>
          </cell>
          <cell r="B366" t="str">
            <v>VALVULA DE LLENADO PARA CARRO TANQUE</v>
          </cell>
          <cell r="C366" t="str">
            <v>UN</v>
          </cell>
          <cell r="D366">
            <v>262600</v>
          </cell>
        </row>
        <row r="367">
          <cell r="A367">
            <v>801</v>
          </cell>
          <cell r="B367" t="str">
            <v>REGISTRO P/D DE ROSCAR 1-1/2", TIPO PESADO</v>
          </cell>
          <cell r="C367" t="str">
            <v>UN</v>
          </cell>
          <cell r="D367">
            <v>113128</v>
          </cell>
        </row>
        <row r="368">
          <cell r="A368">
            <v>802</v>
          </cell>
          <cell r="B368" t="str">
            <v>REGISTRO P/D DE ROSCAR 2-1/2", TIPO PESADO</v>
          </cell>
          <cell r="C368" t="str">
            <v>UN</v>
          </cell>
          <cell r="D368">
            <v>294112</v>
          </cell>
        </row>
        <row r="369">
          <cell r="A369">
            <v>803</v>
          </cell>
          <cell r="B369" t="str">
            <v>CHEQUE DE 2 1/2"</v>
          </cell>
          <cell r="C369" t="str">
            <v>UN</v>
          </cell>
          <cell r="D369">
            <v>288860</v>
          </cell>
        </row>
        <row r="370">
          <cell r="A370">
            <v>804</v>
          </cell>
          <cell r="B370" t="str">
            <v>CHEQUE DE 2"</v>
          </cell>
          <cell r="C370" t="str">
            <v>UN</v>
          </cell>
          <cell r="D370">
            <v>224786</v>
          </cell>
        </row>
        <row r="371">
          <cell r="A371">
            <v>805</v>
          </cell>
          <cell r="B371" t="str">
            <v>CHEQUE PERFORADO DE 1  1/2"</v>
          </cell>
          <cell r="C371" t="str">
            <v>UN</v>
          </cell>
          <cell r="D371">
            <v>158610</v>
          </cell>
        </row>
        <row r="372">
          <cell r="A372">
            <v>806</v>
          </cell>
          <cell r="B372" t="str">
            <v>UNIVERSAL DE  2 1/2"</v>
          </cell>
          <cell r="C372" t="str">
            <v>UN</v>
          </cell>
          <cell r="D372">
            <v>45692</v>
          </cell>
        </row>
        <row r="373">
          <cell r="A373">
            <v>807</v>
          </cell>
          <cell r="B373" t="str">
            <v>UNION FLEXIBLE BORRACHA 2"</v>
          </cell>
          <cell r="C373" t="str">
            <v>UN</v>
          </cell>
          <cell r="D373">
            <v>298839</v>
          </cell>
        </row>
        <row r="374">
          <cell r="A374">
            <v>808</v>
          </cell>
          <cell r="B374" t="str">
            <v>VALVULA DE PIE 2  1/2"</v>
          </cell>
          <cell r="C374" t="str">
            <v>UN</v>
          </cell>
          <cell r="D374">
            <v>278356</v>
          </cell>
        </row>
        <row r="375">
          <cell r="A375">
            <v>809</v>
          </cell>
          <cell r="B375" t="str">
            <v>MANOMETRO DIAL 2"</v>
          </cell>
          <cell r="C375" t="str">
            <v>UN</v>
          </cell>
          <cell r="D375">
            <v>99788</v>
          </cell>
        </row>
        <row r="376">
          <cell r="A376">
            <v>810</v>
          </cell>
          <cell r="B376" t="str">
            <v>BRIDA 2"</v>
          </cell>
          <cell r="C376" t="str">
            <v>UN</v>
          </cell>
          <cell r="D376">
            <v>56301</v>
          </cell>
        </row>
        <row r="377">
          <cell r="A377">
            <v>811</v>
          </cell>
          <cell r="B377" t="str">
            <v>MEDIDOR 1"</v>
          </cell>
          <cell r="C377" t="str">
            <v>UN</v>
          </cell>
          <cell r="D377">
            <v>334689</v>
          </cell>
        </row>
        <row r="378">
          <cell r="A378">
            <v>813</v>
          </cell>
          <cell r="B378" t="str">
            <v>TUBERIA PVC ALC 10"</v>
          </cell>
          <cell r="C378" t="str">
            <v>ML</v>
          </cell>
          <cell r="D378">
            <v>54621</v>
          </cell>
        </row>
        <row r="379">
          <cell r="A379">
            <v>814</v>
          </cell>
          <cell r="B379" t="str">
            <v>TUBERIA PVC ALC 8"</v>
          </cell>
          <cell r="C379" t="str">
            <v>ML</v>
          </cell>
          <cell r="D379">
            <v>47323</v>
          </cell>
        </row>
        <row r="380">
          <cell r="A380">
            <v>815</v>
          </cell>
          <cell r="B380" t="str">
            <v>TUBERIA PVC ALC 6"</v>
          </cell>
          <cell r="C380" t="str">
            <v>ML</v>
          </cell>
          <cell r="D380">
            <v>23529</v>
          </cell>
        </row>
        <row r="381">
          <cell r="A381">
            <v>816</v>
          </cell>
          <cell r="B381" t="str">
            <v>ACCESORIO PVC ALC 10"</v>
          </cell>
          <cell r="C381" t="str">
            <v>UN</v>
          </cell>
          <cell r="D381">
            <v>388648</v>
          </cell>
        </row>
        <row r="382">
          <cell r="A382">
            <v>817</v>
          </cell>
          <cell r="B382" t="str">
            <v>ACCESORIO PVC ALC 8"</v>
          </cell>
          <cell r="C382" t="str">
            <v>UN</v>
          </cell>
          <cell r="D382">
            <v>125891</v>
          </cell>
        </row>
        <row r="383">
          <cell r="A383">
            <v>818</v>
          </cell>
          <cell r="B383" t="str">
            <v>ACCESORIO PVC ALC 6"</v>
          </cell>
          <cell r="C383" t="str">
            <v>UN</v>
          </cell>
          <cell r="D383">
            <v>46382</v>
          </cell>
        </row>
        <row r="384">
          <cell r="A384">
            <v>819</v>
          </cell>
          <cell r="B384" t="str">
            <v>MARCO Y CONTRAMARCO C.I. 0.80 * 0.80</v>
          </cell>
          <cell r="C384" t="str">
            <v>UN</v>
          </cell>
          <cell r="D384">
            <v>126048</v>
          </cell>
        </row>
        <row r="385">
          <cell r="A385">
            <v>820</v>
          </cell>
          <cell r="B385" t="str">
            <v>TUBERIA POLIETILENO DE ALTA DENSIDAD 4"</v>
          </cell>
          <cell r="C385" t="str">
            <v>ML</v>
          </cell>
          <cell r="D385">
            <v>48844</v>
          </cell>
        </row>
        <row r="386">
          <cell r="A386">
            <v>821</v>
          </cell>
          <cell r="B386" t="str">
            <v>TUBERIA POLIETILENO DE ALTA DENSIDAD 3"</v>
          </cell>
          <cell r="C386" t="str">
            <v>ML</v>
          </cell>
          <cell r="D386">
            <v>35504</v>
          </cell>
        </row>
        <row r="387">
          <cell r="A387">
            <v>822</v>
          </cell>
          <cell r="B387" t="str">
            <v>TUBERIA DE ACERO NEGRO 3"</v>
          </cell>
          <cell r="C387" t="str">
            <v>ML</v>
          </cell>
          <cell r="D387">
            <v>71932</v>
          </cell>
        </row>
        <row r="388">
          <cell r="A388">
            <v>823</v>
          </cell>
          <cell r="B388" t="str">
            <v>ACCESORIO POLIETILENO DE ALTA DENSIDAD 4"</v>
          </cell>
          <cell r="C388" t="str">
            <v>UN</v>
          </cell>
          <cell r="D388">
            <v>113443</v>
          </cell>
        </row>
        <row r="389">
          <cell r="A389">
            <v>824</v>
          </cell>
          <cell r="B389" t="str">
            <v>ACCESORIO POLIETILENO DE ALTA DENSIDAD 3"</v>
          </cell>
          <cell r="C389" t="str">
            <v>UN</v>
          </cell>
          <cell r="D389">
            <v>57982</v>
          </cell>
        </row>
        <row r="390">
          <cell r="A390">
            <v>825</v>
          </cell>
          <cell r="B390" t="str">
            <v>ACCESORIO ACERO 3"</v>
          </cell>
          <cell r="C390" t="str">
            <v>UN</v>
          </cell>
          <cell r="D390">
            <v>38655</v>
          </cell>
        </row>
        <row r="391">
          <cell r="A391">
            <v>826</v>
          </cell>
          <cell r="B391" t="str">
            <v>TRANSICION PEAD-ACERO 4"</v>
          </cell>
          <cell r="C391" t="str">
            <v>UN</v>
          </cell>
          <cell r="D391">
            <v>302095</v>
          </cell>
        </row>
        <row r="392">
          <cell r="A392">
            <v>827</v>
          </cell>
          <cell r="B392" t="str">
            <v>TRANSICION PEAD-ACERO 3"</v>
          </cell>
          <cell r="C392" t="str">
            <v>UN</v>
          </cell>
          <cell r="D392">
            <v>184765</v>
          </cell>
        </row>
        <row r="393">
          <cell r="A393">
            <v>828</v>
          </cell>
          <cell r="B393" t="str">
            <v>CHEQUE PARA SIAMESA 4"</v>
          </cell>
          <cell r="C393" t="str">
            <v>UN</v>
          </cell>
          <cell r="D393">
            <v>998510</v>
          </cell>
        </row>
        <row r="394">
          <cell r="A394">
            <v>829</v>
          </cell>
          <cell r="B394" t="str">
            <v>SIAMESA 4"* 2 1/2" * 2  1/2"</v>
          </cell>
          <cell r="C394" t="str">
            <v>UN</v>
          </cell>
          <cell r="D394">
            <v>756667</v>
          </cell>
        </row>
        <row r="395">
          <cell r="A395">
            <v>830</v>
          </cell>
          <cell r="B395" t="str">
            <v>GABINETE TIPO II</v>
          </cell>
          <cell r="C395" t="str">
            <v>UN</v>
          </cell>
          <cell r="D395">
            <v>1321193</v>
          </cell>
        </row>
        <row r="396">
          <cell r="A396">
            <v>831</v>
          </cell>
          <cell r="B396" t="str">
            <v>TANQUE DE GAS 100 LBS</v>
          </cell>
          <cell r="C396" t="str">
            <v>UN</v>
          </cell>
          <cell r="D396">
            <v>178568</v>
          </cell>
        </row>
        <row r="397">
          <cell r="A397">
            <v>832</v>
          </cell>
          <cell r="B397" t="str">
            <v>Equipo incendio (Q=15,75 l/s; CDT=75 mca; P=40 HP) Incluye: Bomba vertical, electrobomba Jockey, tableros electricos, cabezal de prueba y equipo diesel.</v>
          </cell>
          <cell r="C397" t="str">
            <v>UN</v>
          </cell>
          <cell r="D397">
            <v>12480000</v>
          </cell>
        </row>
        <row r="398">
          <cell r="A398">
            <v>833</v>
          </cell>
          <cell r="B398" t="str">
            <v>FLOTADOR MECANICO 1"</v>
          </cell>
          <cell r="C398" t="str">
            <v>UN</v>
          </cell>
          <cell r="D398">
            <v>125817</v>
          </cell>
        </row>
        <row r="399">
          <cell r="A399">
            <v>834</v>
          </cell>
          <cell r="B399" t="str">
            <v>TUBERIA DE ACERO NEGRO 6"</v>
          </cell>
          <cell r="C399" t="str">
            <v>ML</v>
          </cell>
          <cell r="D399">
            <v>99239</v>
          </cell>
        </row>
        <row r="400">
          <cell r="A400">
            <v>835</v>
          </cell>
          <cell r="B400" t="str">
            <v>TUBERIA DE ACERO NEGRO 4"</v>
          </cell>
          <cell r="C400" t="str">
            <v>ML</v>
          </cell>
          <cell r="D400">
            <v>56431</v>
          </cell>
        </row>
        <row r="401">
          <cell r="A401">
            <v>836</v>
          </cell>
          <cell r="B401" t="str">
            <v>ACCESORIO ACERO 6"</v>
          </cell>
          <cell r="C401" t="str">
            <v>UN</v>
          </cell>
          <cell r="D401">
            <v>75513</v>
          </cell>
        </row>
        <row r="402">
          <cell r="A402">
            <v>837</v>
          </cell>
          <cell r="B402" t="str">
            <v>ACCESORIO ACERO 4"</v>
          </cell>
          <cell r="C402" t="str">
            <v>UN</v>
          </cell>
          <cell r="D402">
            <v>63276</v>
          </cell>
        </row>
        <row r="403">
          <cell r="A403">
            <v>838</v>
          </cell>
          <cell r="B403" t="str">
            <v>COUPLING 6"</v>
          </cell>
          <cell r="C403" t="str">
            <v>UN</v>
          </cell>
          <cell r="D403">
            <v>24758</v>
          </cell>
        </row>
        <row r="404">
          <cell r="A404">
            <v>839</v>
          </cell>
          <cell r="B404" t="str">
            <v>COUPLING 4"</v>
          </cell>
          <cell r="C404" t="str">
            <v>UN</v>
          </cell>
          <cell r="D404">
            <v>16386</v>
          </cell>
        </row>
        <row r="405">
          <cell r="A405">
            <v>840</v>
          </cell>
          <cell r="B405" t="str">
            <v>COUPLING 3"</v>
          </cell>
          <cell r="C405" t="str">
            <v>UN</v>
          </cell>
          <cell r="D405">
            <v>14874</v>
          </cell>
        </row>
        <row r="406">
          <cell r="A406">
            <v>841</v>
          </cell>
          <cell r="B406" t="str">
            <v>BRIDA 6"</v>
          </cell>
          <cell r="C406" t="str">
            <v>UN</v>
          </cell>
          <cell r="D406">
            <v>193399</v>
          </cell>
        </row>
        <row r="407">
          <cell r="A407">
            <v>842</v>
          </cell>
          <cell r="B407" t="str">
            <v>VALVULA DE ALIVIO 3"</v>
          </cell>
          <cell r="C407" t="str">
            <v>UN</v>
          </cell>
          <cell r="D407">
            <v>1712152</v>
          </cell>
        </row>
        <row r="408">
          <cell r="A408">
            <v>843</v>
          </cell>
          <cell r="B408" t="str">
            <v>JUNTA FLEXOMETRICA 6"</v>
          </cell>
          <cell r="C408" t="str">
            <v>UN</v>
          </cell>
          <cell r="D408">
            <v>714272</v>
          </cell>
        </row>
        <row r="409">
          <cell r="A409">
            <v>844</v>
          </cell>
          <cell r="B409" t="str">
            <v>JUNTA FLEXOMETRICA 3"</v>
          </cell>
          <cell r="C409" t="str">
            <v>UN</v>
          </cell>
          <cell r="D409">
            <v>367640</v>
          </cell>
        </row>
        <row r="410">
          <cell r="A410">
            <v>845</v>
          </cell>
          <cell r="B410" t="str">
            <v>VALVULA DE MARIPOSA 6"</v>
          </cell>
          <cell r="C410" t="str">
            <v>UN</v>
          </cell>
          <cell r="D410">
            <v>1453249</v>
          </cell>
        </row>
        <row r="411">
          <cell r="A411">
            <v>846</v>
          </cell>
          <cell r="B411" t="str">
            <v>VALVULA DE MARIPOSA 4"</v>
          </cell>
          <cell r="C411" t="str">
            <v>UN</v>
          </cell>
          <cell r="D411">
            <v>1024980</v>
          </cell>
        </row>
        <row r="412">
          <cell r="A412">
            <v>847</v>
          </cell>
          <cell r="B412" t="str">
            <v>VALVULA DE MARIPOSA 3"</v>
          </cell>
          <cell r="C412" t="str">
            <v>UN</v>
          </cell>
          <cell r="D412">
            <v>845677</v>
          </cell>
        </row>
        <row r="413">
          <cell r="A413">
            <v>848</v>
          </cell>
          <cell r="B413" t="str">
            <v>CABEZAL DE PRUEBA 4"* 2 1/2" * 2  1/2"</v>
          </cell>
          <cell r="C413" t="str">
            <v>UN</v>
          </cell>
          <cell r="D413">
            <v>2920742</v>
          </cell>
        </row>
        <row r="414">
          <cell r="A414">
            <v>849</v>
          </cell>
          <cell r="B414" t="str">
            <v>CHEQUE 6"</v>
          </cell>
          <cell r="C414" t="str">
            <v>UN</v>
          </cell>
          <cell r="D414">
            <v>1227918</v>
          </cell>
        </row>
        <row r="415">
          <cell r="A415">
            <v>850</v>
          </cell>
          <cell r="B415" t="str">
            <v>CHEQUE 3"</v>
          </cell>
          <cell r="C415" t="str">
            <v>UN</v>
          </cell>
          <cell r="D415">
            <v>451882</v>
          </cell>
        </row>
        <row r="416">
          <cell r="A416">
            <v>851</v>
          </cell>
          <cell r="B416" t="str">
            <v>CHEQUE 3/4"</v>
          </cell>
          <cell r="C416" t="str">
            <v>UN</v>
          </cell>
          <cell r="D416">
            <v>63024</v>
          </cell>
        </row>
        <row r="417">
          <cell r="A417">
            <v>852</v>
          </cell>
          <cell r="B417" t="str">
            <v>UNIVERSAL DE  2"</v>
          </cell>
          <cell r="C417" t="str">
            <v>UN</v>
          </cell>
          <cell r="D417">
            <v>33613</v>
          </cell>
        </row>
        <row r="418">
          <cell r="A418">
            <v>853</v>
          </cell>
          <cell r="B418" t="str">
            <v>VALVULA DE PIE 2"</v>
          </cell>
          <cell r="C418" t="str">
            <v>UN</v>
          </cell>
          <cell r="D418">
            <v>205511</v>
          </cell>
        </row>
        <row r="419">
          <cell r="A419">
            <v>854</v>
          </cell>
          <cell r="B419" t="str">
            <v>TANQUE PLÁSTICO LÍNEA BAJA PARA ALMACENAMIENTO DE AGUA DE 500 LITROS</v>
          </cell>
          <cell r="C419" t="str">
            <v>UN</v>
          </cell>
          <cell r="D419">
            <v>198526</v>
          </cell>
        </row>
        <row r="420">
          <cell r="A420">
            <v>855</v>
          </cell>
          <cell r="B420" t="str">
            <v>CHEQUE DE 1  1/2"</v>
          </cell>
          <cell r="C420" t="str">
            <v>UN</v>
          </cell>
          <cell r="D420">
            <v>170165</v>
          </cell>
        </row>
        <row r="421">
          <cell r="A421">
            <v>856</v>
          </cell>
          <cell r="B421" t="str">
            <v>TUBERÍA ACERO NEGRO PARA RED DE COMBUSTIBLE 3/4"</v>
          </cell>
          <cell r="C421" t="str">
            <v>ML</v>
          </cell>
          <cell r="D421">
            <v>20168</v>
          </cell>
        </row>
        <row r="422">
          <cell r="A422">
            <v>857</v>
          </cell>
          <cell r="B422" t="str">
            <v>ACCESORIOS ACERO ROSCAR PARA RED DE COMBUSTIBLE 3/4"</v>
          </cell>
          <cell r="C422" t="str">
            <v>UN</v>
          </cell>
          <cell r="D422">
            <v>3435</v>
          </cell>
        </row>
        <row r="423">
          <cell r="A423">
            <v>858</v>
          </cell>
          <cell r="B423" t="str">
            <v>TUBERIA DE ACERO NEGRO 2"</v>
          </cell>
          <cell r="C423" t="str">
            <v>ML</v>
          </cell>
          <cell r="D423">
            <v>55840</v>
          </cell>
        </row>
        <row r="424">
          <cell r="A424">
            <v>859</v>
          </cell>
          <cell r="B424" t="str">
            <v>ACCESORIO ACERO 2"</v>
          </cell>
          <cell r="C424" t="str">
            <v>UN</v>
          </cell>
          <cell r="D424">
            <v>15651</v>
          </cell>
        </row>
        <row r="425">
          <cell r="A425">
            <v>860</v>
          </cell>
          <cell r="B425" t="str">
            <v>COUPLING 2"</v>
          </cell>
          <cell r="C425" t="str">
            <v>UN</v>
          </cell>
          <cell r="D425">
            <v>7899</v>
          </cell>
        </row>
        <row r="426">
          <cell r="A426">
            <v>861</v>
          </cell>
          <cell r="B426" t="str">
            <v>BRIDA 4"</v>
          </cell>
          <cell r="C426" t="str">
            <v>UN</v>
          </cell>
          <cell r="D426">
            <v>136552</v>
          </cell>
        </row>
        <row r="427">
          <cell r="A427">
            <v>862</v>
          </cell>
          <cell r="B427" t="str">
            <v>VALVULA DE ALIVIO 4"</v>
          </cell>
          <cell r="C427" t="str">
            <v>UN</v>
          </cell>
          <cell r="D427">
            <v>2278318</v>
          </cell>
        </row>
        <row r="428">
          <cell r="A428">
            <v>863</v>
          </cell>
          <cell r="B428" t="str">
            <v>JUNTA FLEXOMETRICA 4"</v>
          </cell>
          <cell r="C428" t="str">
            <v>UN</v>
          </cell>
          <cell r="D428">
            <v>439487</v>
          </cell>
        </row>
        <row r="429">
          <cell r="A429">
            <v>864</v>
          </cell>
          <cell r="B429" t="str">
            <v>JUNTA FLEXOMETRICA 2"</v>
          </cell>
          <cell r="C429" t="str">
            <v>UN</v>
          </cell>
          <cell r="D429">
            <v>276214</v>
          </cell>
        </row>
        <row r="430">
          <cell r="A430">
            <v>865</v>
          </cell>
          <cell r="B430" t="str">
            <v>VALVULA DE MARIPOSA 2"</v>
          </cell>
          <cell r="C430" t="str">
            <v>UN</v>
          </cell>
          <cell r="D430">
            <v>532279</v>
          </cell>
        </row>
        <row r="431">
          <cell r="A431">
            <v>866</v>
          </cell>
          <cell r="B431" t="str">
            <v>CHEQUE 4"</v>
          </cell>
          <cell r="C431" t="str">
            <v>UN</v>
          </cell>
          <cell r="D431">
            <v>807947</v>
          </cell>
        </row>
        <row r="432">
          <cell r="A432">
            <v>867</v>
          </cell>
          <cell r="B432" t="str">
            <v>REGISTRO DE CORTE DE 1/2"</v>
          </cell>
          <cell r="C432" t="str">
            <v>UN</v>
          </cell>
          <cell r="D432">
            <v>30357</v>
          </cell>
        </row>
        <row r="433">
          <cell r="A433">
            <v>868</v>
          </cell>
          <cell r="B433" t="str">
            <v>CHEQUE 1/2"</v>
          </cell>
          <cell r="C433" t="str">
            <v>UN</v>
          </cell>
          <cell r="D433">
            <v>89284</v>
          </cell>
        </row>
        <row r="434">
          <cell r="A434">
            <v>869</v>
          </cell>
          <cell r="B434" t="str">
            <v>VENTANA EN LÁMINA COLD ROLLED CAL. 18, INCLUYE VIDRIO DE 4 mm</v>
          </cell>
          <cell r="C434" t="str">
            <v>M2</v>
          </cell>
          <cell r="D434">
            <v>262600</v>
          </cell>
        </row>
        <row r="435">
          <cell r="A435">
            <v>870</v>
          </cell>
          <cell r="B435" t="str">
            <v>MEDIDOR 1/2"</v>
          </cell>
          <cell r="C435" t="str">
            <v>UN</v>
          </cell>
          <cell r="D435">
            <v>134136</v>
          </cell>
        </row>
        <row r="436">
          <cell r="A436">
            <v>871</v>
          </cell>
          <cell r="B436" t="str">
            <v>TUBERIA DE ACERO NEGRO 2   1/2"</v>
          </cell>
          <cell r="C436" t="str">
            <v>ML</v>
          </cell>
          <cell r="D436">
            <v>63024</v>
          </cell>
        </row>
        <row r="437">
          <cell r="A437">
            <v>872</v>
          </cell>
          <cell r="B437" t="str">
            <v>TUBERIA DE ACERO NEGRO 1   1/2"</v>
          </cell>
          <cell r="C437" t="str">
            <v>ML</v>
          </cell>
          <cell r="D437">
            <v>38550</v>
          </cell>
        </row>
        <row r="438">
          <cell r="A438">
            <v>873</v>
          </cell>
          <cell r="B438" t="str">
            <v>ACCESORIO ACERO 1  1/2"</v>
          </cell>
          <cell r="C438" t="str">
            <v>UN</v>
          </cell>
          <cell r="D438">
            <v>8613</v>
          </cell>
        </row>
        <row r="439">
          <cell r="A439">
            <v>874</v>
          </cell>
          <cell r="B439" t="str">
            <v>COUPLING 2  1/2"</v>
          </cell>
          <cell r="C439" t="str">
            <v>UN</v>
          </cell>
          <cell r="D439">
            <v>10662</v>
          </cell>
        </row>
        <row r="440">
          <cell r="A440">
            <v>875</v>
          </cell>
          <cell r="B440" t="str">
            <v>COUPLING 1  1/2"</v>
          </cell>
          <cell r="C440" t="str">
            <v>UN</v>
          </cell>
          <cell r="D440">
            <v>7899</v>
          </cell>
        </row>
        <row r="441">
          <cell r="A441">
            <v>876</v>
          </cell>
          <cell r="B441" t="str">
            <v>BRIDA 3"</v>
          </cell>
          <cell r="C441" t="str">
            <v>UN</v>
          </cell>
          <cell r="D441">
            <v>71427</v>
          </cell>
        </row>
        <row r="442">
          <cell r="A442">
            <v>878</v>
          </cell>
          <cell r="B442" t="str">
            <v>VALVULA DE ALIVIO 2"</v>
          </cell>
          <cell r="C442" t="str">
            <v>UN</v>
          </cell>
          <cell r="D442">
            <v>1081912</v>
          </cell>
        </row>
        <row r="443">
          <cell r="A443">
            <v>880</v>
          </cell>
          <cell r="B443" t="str">
            <v>GABINETES (CILINDROS DE GAS - CUERPO DE BOMBERO)</v>
          </cell>
          <cell r="C443" t="str">
            <v>UN</v>
          </cell>
          <cell r="D443">
            <v>262600</v>
          </cell>
        </row>
        <row r="444">
          <cell r="A444">
            <v>926</v>
          </cell>
          <cell r="B444" t="str">
            <v>LOSETA EN CONCRETO FUNDIDA EN SITIO</v>
          </cell>
          <cell r="C444" t="str">
            <v>M2</v>
          </cell>
          <cell r="D444">
            <v>23109</v>
          </cell>
        </row>
        <row r="445">
          <cell r="A445">
            <v>925</v>
          </cell>
          <cell r="B445" t="str">
            <v>CERRAMIENTO EN MALLA ESLABONADA GALVANIZADA 2"*2"</v>
          </cell>
          <cell r="C445" t="str">
            <v>M2</v>
          </cell>
          <cell r="D445">
            <v>231088</v>
          </cell>
        </row>
        <row r="446">
          <cell r="A446">
            <v>924</v>
          </cell>
          <cell r="B446" t="str">
            <v>VENTANA EN LAMINA COLD ROLLER PROYECTANTE EN VIDRIO, LAMINA COLD ROLLER CON ANTICORROSIVO Y ESMALTE COLOR GRIS ALUMINIO</v>
          </cell>
          <cell r="C446" t="str">
            <v>M2</v>
          </cell>
          <cell r="D446">
            <v>183820</v>
          </cell>
        </row>
        <row r="447">
          <cell r="A447">
            <v>923</v>
          </cell>
          <cell r="B447" t="str">
            <v>VENTANA EN LAMINA COLD ROLLER CON CUERPO FIJO EN PERSIANA, LAMINA COLD ROLLER CON ANTICORROSIVO Y ESMALTE COLOR GRIS ALUMINIO</v>
          </cell>
          <cell r="C447" t="str">
            <v>M2</v>
          </cell>
          <cell r="D447">
            <v>157560</v>
          </cell>
        </row>
        <row r="448">
          <cell r="A448">
            <v>922</v>
          </cell>
          <cell r="B448" t="str">
            <v>VENTANA EN LAMINA COLD ROLLER CON CUERPO FIJO EN VIDRIO, LAMINA COLD ROLLER CON ANTICORROSIVO Y ESMALTE COLOR GRIS ALUMINIO</v>
          </cell>
          <cell r="C448" t="str">
            <v>M2</v>
          </cell>
          <cell r="D448">
            <v>189072</v>
          </cell>
        </row>
        <row r="449">
          <cell r="A449">
            <v>921</v>
          </cell>
          <cell r="B449" t="str">
            <v>VENTANA EN LAMINA COLD ROLLER CON CUERPO INFERIOR EN VIDRIO FIJO Y CUERPO SUPERIOR EN PROYECTANTE, LAMINA COLD ROLLER CON ANTICORROSIVO Y ESMALTE COLOR GRIS ALUMINIO</v>
          </cell>
          <cell r="C449" t="str">
            <v>M2</v>
          </cell>
          <cell r="D449">
            <v>210080</v>
          </cell>
        </row>
        <row r="450">
          <cell r="A450">
            <v>920</v>
          </cell>
          <cell r="B450" t="str">
            <v>VENTANA EN LAMINA COLD ROLLER CON CUERPO INFERIOR EN VIDRIO FIJO Y CUERPO SUPERIOR EN VIDRIO FIJO, LAMINA COLD ROLLER CON ANTICORROSIVO Y ESMALTE COLOR GRIS ALUMINIO</v>
          </cell>
          <cell r="C450" t="str">
            <v>M2</v>
          </cell>
          <cell r="D450">
            <v>189072</v>
          </cell>
        </row>
        <row r="451">
          <cell r="A451">
            <v>919</v>
          </cell>
          <cell r="B451" t="str">
            <v>VENTANA EN LAMINA COLD ROLLER CON CUERPO INFERIOR EN PERSIANA Y CUERPO SUPERIOR EN PROYECTANTE, LAMINA COLD ROLLER CON ANTICORROSIVO Y ESMALTE COLOR GRIS ALUMINIO</v>
          </cell>
          <cell r="C451" t="str">
            <v>M2</v>
          </cell>
          <cell r="D451">
            <v>178568</v>
          </cell>
        </row>
        <row r="452">
          <cell r="A452">
            <v>918</v>
          </cell>
          <cell r="B452" t="str">
            <v>VENTANA EN LAMINA COLD ROLLER CON CUERPO INFERIOR EN PERSIANA Y CUERPO SUPERIOR EN VIDRIO FIJO, LAMINA COLD ROLLER CON ANTICORROSIVO Y ESMALTE COLOR GRIS ALUMINIO</v>
          </cell>
          <cell r="C452" t="str">
            <v>M2</v>
          </cell>
          <cell r="D452">
            <v>168064</v>
          </cell>
        </row>
        <row r="453">
          <cell r="A453">
            <v>917</v>
          </cell>
          <cell r="B453" t="str">
            <v>ELEMENTOS DE FIJACION CUBIERTA</v>
          </cell>
          <cell r="C453" t="str">
            <v>UN</v>
          </cell>
          <cell r="D453">
            <v>525</v>
          </cell>
        </row>
        <row r="454">
          <cell r="A454">
            <v>916</v>
          </cell>
          <cell r="B454" t="str">
            <v>REMATE  LATERAL CINDU COD 1950 O SIMILAR</v>
          </cell>
          <cell r="C454" t="str">
            <v>ML</v>
          </cell>
          <cell r="D454">
            <v>26260</v>
          </cell>
        </row>
        <row r="455">
          <cell r="A455">
            <v>915</v>
          </cell>
          <cell r="B455" t="str">
            <v>GUARDAESCOBAS EN LOSETA INDUSTRIAL ALFA COLOR 225005696. 24,5*9CM</v>
          </cell>
          <cell r="C455" t="str">
            <v>UN</v>
          </cell>
          <cell r="D455">
            <v>4937</v>
          </cell>
        </row>
        <row r="456">
          <cell r="A456">
            <v>914</v>
          </cell>
          <cell r="B456" t="str">
            <v>GUARDAESCOBAS  EN TABLETA DE GRES DE 18,5*9CM TIPO ROMANA ALFAGRES COLOR COTTO</v>
          </cell>
          <cell r="C456" t="str">
            <v>UN</v>
          </cell>
          <cell r="D456">
            <v>830</v>
          </cell>
        </row>
        <row r="457">
          <cell r="A457">
            <v>955</v>
          </cell>
          <cell r="B457" t="str">
            <v>VENTILADOR DE PARED K-VPAR16 KALLEY O EQUIVALENTE</v>
          </cell>
          <cell r="C457" t="str">
            <v>UN</v>
          </cell>
          <cell r="D457">
            <v>97687</v>
          </cell>
        </row>
        <row r="458">
          <cell r="A458">
            <v>954</v>
          </cell>
          <cell r="B458" t="str">
            <v>REJILLA DE VENTILACION 120 CM2</v>
          </cell>
          <cell r="C458" t="str">
            <v>UN</v>
          </cell>
          <cell r="D458">
            <v>26260</v>
          </cell>
        </row>
        <row r="459">
          <cell r="A459">
            <v>953</v>
          </cell>
          <cell r="B459" t="str">
            <v>CAJILLA PARA CHEQUE</v>
          </cell>
          <cell r="C459" t="str">
            <v>UN</v>
          </cell>
          <cell r="D459">
            <v>73528</v>
          </cell>
        </row>
        <row r="460">
          <cell r="A460">
            <v>952</v>
          </cell>
          <cell r="B460" t="str">
            <v>SILICONA LIQUIDA</v>
          </cell>
          <cell r="C460" t="str">
            <v>UN</v>
          </cell>
          <cell r="D460">
            <v>9033</v>
          </cell>
        </row>
        <row r="461">
          <cell r="A461">
            <v>951</v>
          </cell>
          <cell r="B461" t="str">
            <v>VALVULA DE LLENADO PARA CARRO TANQUE 3/4</v>
          </cell>
          <cell r="C461" t="str">
            <v>UN</v>
          </cell>
          <cell r="D461">
            <v>126048</v>
          </cell>
        </row>
        <row r="462">
          <cell r="A462">
            <v>950</v>
          </cell>
          <cell r="B462" t="str">
            <v>ACCESORIO RAN UL/FM Ø= 3/4"</v>
          </cell>
          <cell r="C462" t="str">
            <v>UN</v>
          </cell>
          <cell r="D462">
            <v>19958</v>
          </cell>
        </row>
        <row r="463">
          <cell r="A463">
            <v>949</v>
          </cell>
          <cell r="B463" t="str">
            <v>TUBO ACERO CSC SCH 40 - 3/4"</v>
          </cell>
          <cell r="C463" t="str">
            <v>ML</v>
          </cell>
          <cell r="D463">
            <v>52520</v>
          </cell>
        </row>
        <row r="464">
          <cell r="A464">
            <v>948</v>
          </cell>
          <cell r="B464" t="str">
            <v>NIPLE 2"</v>
          </cell>
          <cell r="C464" t="str">
            <v>UN</v>
          </cell>
          <cell r="D464">
            <v>126048</v>
          </cell>
        </row>
        <row r="465">
          <cell r="A465">
            <v>947</v>
          </cell>
          <cell r="B465" t="str">
            <v>UNION FLEXIBLE BORRACHA 3/4"</v>
          </cell>
          <cell r="C465" t="str">
            <v>UN</v>
          </cell>
          <cell r="D465">
            <v>94536</v>
          </cell>
        </row>
        <row r="466">
          <cell r="A466">
            <v>946</v>
          </cell>
          <cell r="B466" t="str">
            <v>VENTOSA  1/2"</v>
          </cell>
          <cell r="C466" t="str">
            <v>UN</v>
          </cell>
          <cell r="D466">
            <v>578770</v>
          </cell>
        </row>
        <row r="467">
          <cell r="A467">
            <v>945</v>
          </cell>
          <cell r="B467" t="str">
            <v>BRIDA 1  1/2"</v>
          </cell>
          <cell r="C467" t="str">
            <v>UN</v>
          </cell>
          <cell r="D467">
            <v>50419</v>
          </cell>
        </row>
        <row r="468">
          <cell r="A468">
            <v>944</v>
          </cell>
          <cell r="B468" t="str">
            <v>CABEZAL DE PRUEBA 3"* 2 1/2" * 2  1/2"</v>
          </cell>
          <cell r="C468" t="str">
            <v>UN</v>
          </cell>
          <cell r="D468">
            <v>2415920</v>
          </cell>
        </row>
        <row r="469">
          <cell r="A469">
            <v>942</v>
          </cell>
          <cell r="B469" t="str">
            <v>ALAMBRE GALVANIZADO Nº 12</v>
          </cell>
          <cell r="C469" t="str">
            <v>KG</v>
          </cell>
          <cell r="D469">
            <v>8592</v>
          </cell>
        </row>
        <row r="470">
          <cell r="A470">
            <v>941</v>
          </cell>
          <cell r="B470" t="str">
            <v>TANQUE PLÁSTICO LÍNEA BAJA PARA ALMACENAMIENTO DE AGUA DE 5000 LITROS</v>
          </cell>
          <cell r="C470" t="str">
            <v>UN</v>
          </cell>
          <cell r="D470">
            <v>1890720</v>
          </cell>
        </row>
        <row r="471">
          <cell r="A471">
            <v>940</v>
          </cell>
          <cell r="B471" t="str">
            <v>REGULADOR SEGUNDA ETAPA</v>
          </cell>
          <cell r="C471" t="str">
            <v>UN</v>
          </cell>
          <cell r="D471">
            <v>97687</v>
          </cell>
        </row>
        <row r="472">
          <cell r="A472">
            <v>939</v>
          </cell>
          <cell r="B472" t="str">
            <v>ACCESORIOS  POLIETILENO DE ALTA DENSIDAD 1/2"</v>
          </cell>
          <cell r="C472" t="str">
            <v>UN</v>
          </cell>
          <cell r="D472">
            <v>12553</v>
          </cell>
        </row>
        <row r="473">
          <cell r="A473">
            <v>938</v>
          </cell>
          <cell r="B473" t="str">
            <v>TUBERIA POLIETILENO DE ALTA DENSIDAD 1/2"</v>
          </cell>
          <cell r="C473" t="str">
            <v>ML</v>
          </cell>
          <cell r="D473">
            <v>4727</v>
          </cell>
        </row>
        <row r="474">
          <cell r="A474">
            <v>937</v>
          </cell>
          <cell r="B474" t="str">
            <v>TANQUE HIDROACUMULADOR</v>
          </cell>
          <cell r="C474" t="str">
            <v>UN</v>
          </cell>
          <cell r="D474">
            <v>630240</v>
          </cell>
        </row>
        <row r="475">
          <cell r="A475">
            <v>936</v>
          </cell>
          <cell r="B475" t="str">
            <v>BOMBA JOCKEY</v>
          </cell>
          <cell r="C475" t="str">
            <v>UN</v>
          </cell>
          <cell r="D475">
            <v>7280000</v>
          </cell>
        </row>
        <row r="476">
          <cell r="A476">
            <v>935</v>
          </cell>
          <cell r="B476" t="str">
            <v xml:space="preserve">MECHERO BUNSEN </v>
          </cell>
          <cell r="C476" t="str">
            <v>UN</v>
          </cell>
          <cell r="D476">
            <v>157560</v>
          </cell>
        </row>
        <row r="477">
          <cell r="A477">
            <v>934</v>
          </cell>
          <cell r="B477" t="str">
            <v>EQUIPO DE BOMBEO SUMERGIBLE SISTEMA DE RIEGO</v>
          </cell>
          <cell r="C477" t="str">
            <v>UN</v>
          </cell>
          <cell r="D477">
            <v>7354880</v>
          </cell>
        </row>
        <row r="478">
          <cell r="A478">
            <v>933</v>
          </cell>
          <cell r="B478" t="str">
            <v>CHEQUE DE 1  1/4"</v>
          </cell>
          <cell r="C478" t="str">
            <v>UN</v>
          </cell>
          <cell r="D478">
            <v>147056</v>
          </cell>
        </row>
        <row r="479">
          <cell r="A479">
            <v>932</v>
          </cell>
          <cell r="B479" t="str">
            <v>UNIVERSAL DE  1  1/4"</v>
          </cell>
          <cell r="C479" t="str">
            <v>UN</v>
          </cell>
          <cell r="D479">
            <v>30462</v>
          </cell>
        </row>
        <row r="480">
          <cell r="A480">
            <v>931</v>
          </cell>
          <cell r="B480" t="str">
            <v>TUBERIA PERFORADA PVCP  1"</v>
          </cell>
          <cell r="C480" t="str">
            <v>ML</v>
          </cell>
          <cell r="D480">
            <v>6302</v>
          </cell>
        </row>
        <row r="481">
          <cell r="A481">
            <v>930</v>
          </cell>
          <cell r="B481" t="str">
            <v>VALVULA DE PIE 4"</v>
          </cell>
          <cell r="C481" t="str">
            <v>UN</v>
          </cell>
          <cell r="D481">
            <v>472680</v>
          </cell>
        </row>
        <row r="482">
          <cell r="A482">
            <v>929</v>
          </cell>
          <cell r="B482" t="str">
            <v>PISO LOSETA INDUSTRIAL ALFA 24,5*12 COLOR 225005696</v>
          </cell>
          <cell r="C482" t="str">
            <v>M2</v>
          </cell>
          <cell r="D482">
            <v>66595</v>
          </cell>
        </row>
        <row r="483">
          <cell r="A483">
            <v>928</v>
          </cell>
          <cell r="B483" t="str">
            <v>REMATE CONTRAMURO LATERAL SUPERIOR CINDU COD 1926 O SIMILAR</v>
          </cell>
          <cell r="C483" t="str">
            <v>ML</v>
          </cell>
          <cell r="D483">
            <v>30041</v>
          </cell>
        </row>
        <row r="484">
          <cell r="A484">
            <v>927</v>
          </cell>
          <cell r="B484" t="str">
            <v>LIMAHOYA LISA CINDU COD. 1933 O SIMILAR</v>
          </cell>
          <cell r="C484" t="str">
            <v>UN</v>
          </cell>
          <cell r="D484">
            <v>68276</v>
          </cell>
        </row>
        <row r="485">
          <cell r="A485">
            <v>913</v>
          </cell>
          <cell r="B485" t="str">
            <v>PLATA POTABILIZADORA</v>
          </cell>
          <cell r="C485" t="str">
            <v>UN</v>
          </cell>
          <cell r="D485">
            <v>26260000</v>
          </cell>
        </row>
        <row r="486">
          <cell r="A486">
            <v>912</v>
          </cell>
          <cell r="B486" t="str">
            <v>CABEZAL DE PRUEBA 2"* 2 1/2" * 2  1/2"</v>
          </cell>
          <cell r="C486" t="str">
            <v>UN</v>
          </cell>
          <cell r="D486">
            <v>1838200</v>
          </cell>
        </row>
        <row r="487">
          <cell r="A487">
            <v>911</v>
          </cell>
          <cell r="B487" t="str">
            <v>SIAMESA 3"* 2 1/2" * 2  1/2"</v>
          </cell>
          <cell r="C487" t="str">
            <v>UN</v>
          </cell>
          <cell r="D487">
            <v>756667</v>
          </cell>
        </row>
        <row r="488">
          <cell r="A488">
            <v>910</v>
          </cell>
          <cell r="B488" t="str">
            <v>CHEQUE PARA SIAMESA 3"</v>
          </cell>
          <cell r="C488" t="str">
            <v>UN</v>
          </cell>
          <cell r="D488">
            <v>588749</v>
          </cell>
        </row>
        <row r="489">
          <cell r="A489">
            <v>909</v>
          </cell>
          <cell r="B489" t="str">
            <v>VALVULA DE MARIPOSA 2  1/2"</v>
          </cell>
          <cell r="C489" t="str">
            <v>UN</v>
          </cell>
          <cell r="D489">
            <v>694209</v>
          </cell>
        </row>
        <row r="490">
          <cell r="A490">
            <v>908</v>
          </cell>
          <cell r="B490" t="str">
            <v>JUNTA FLEXOMETRICA 2  1/2"</v>
          </cell>
          <cell r="C490" t="str">
            <v>UN</v>
          </cell>
          <cell r="D490">
            <v>315120</v>
          </cell>
        </row>
        <row r="491">
          <cell r="A491">
            <v>905</v>
          </cell>
          <cell r="B491" t="str">
            <v>ACCESORIO ACERO 2 1/2"</v>
          </cell>
          <cell r="C491" t="str">
            <v>UN</v>
          </cell>
          <cell r="D491">
            <v>18907</v>
          </cell>
        </row>
        <row r="492">
          <cell r="A492">
            <v>904</v>
          </cell>
          <cell r="B492" t="str">
            <v>TOMA FIJA BOMBEROS</v>
          </cell>
          <cell r="C492" t="str">
            <v>UN</v>
          </cell>
          <cell r="D492">
            <v>220584</v>
          </cell>
        </row>
        <row r="493">
          <cell r="A493">
            <v>903</v>
          </cell>
          <cell r="B493" t="str">
            <v>BRIDA 2  1/2"</v>
          </cell>
          <cell r="C493" t="str">
            <v>UN</v>
          </cell>
          <cell r="D493">
            <v>63024</v>
          </cell>
        </row>
        <row r="494">
          <cell r="A494">
            <v>902</v>
          </cell>
          <cell r="B494" t="str">
            <v>UNION FLEXIBLE BORRACHA 2  1/2"</v>
          </cell>
          <cell r="C494" t="str">
            <v>UN</v>
          </cell>
          <cell r="D494">
            <v>315120</v>
          </cell>
        </row>
        <row r="495">
          <cell r="A495">
            <v>900</v>
          </cell>
          <cell r="B495" t="str">
            <v>VALVULA DE PIE 1  1/2"</v>
          </cell>
          <cell r="C495" t="str">
            <v>UN</v>
          </cell>
          <cell r="D495">
            <v>189072</v>
          </cell>
        </row>
        <row r="496">
          <cell r="A496">
            <v>899</v>
          </cell>
          <cell r="B496" t="str">
            <v>UNION FLEXIBLE BORRACHA 1  1/2"</v>
          </cell>
          <cell r="C496" t="str">
            <v>UN</v>
          </cell>
          <cell r="D496">
            <v>231088</v>
          </cell>
        </row>
        <row r="497">
          <cell r="A497">
            <v>898</v>
          </cell>
          <cell r="B497" t="str">
            <v>UNIVERSAL DE  1  1/2"</v>
          </cell>
          <cell r="C497" t="str">
            <v>UN</v>
          </cell>
          <cell r="D497">
            <v>28361</v>
          </cell>
        </row>
        <row r="498">
          <cell r="A498">
            <v>897</v>
          </cell>
          <cell r="B498" t="str">
            <v>CHEQUE PERFORADO DE 1"</v>
          </cell>
          <cell r="C498" t="str">
            <v>UN</v>
          </cell>
          <cell r="D498">
            <v>84032</v>
          </cell>
        </row>
        <row r="499">
          <cell r="A499">
            <v>896</v>
          </cell>
          <cell r="B499" t="str">
            <v>NIPLE 1"</v>
          </cell>
          <cell r="C499" t="str">
            <v>UN</v>
          </cell>
          <cell r="D499">
            <v>75629</v>
          </cell>
        </row>
        <row r="500">
          <cell r="A500">
            <v>895</v>
          </cell>
          <cell r="B500" t="str">
            <v>GRAVA PARA FILTRO</v>
          </cell>
          <cell r="C500" t="str">
            <v>M3</v>
          </cell>
          <cell r="D500">
            <v>57772</v>
          </cell>
        </row>
        <row r="501">
          <cell r="A501">
            <v>894</v>
          </cell>
          <cell r="B501" t="str">
            <v>GEOTEXTIL NT1600 DE PAVCO O SIMILAR</v>
          </cell>
          <cell r="C501" t="str">
            <v>M2</v>
          </cell>
          <cell r="D501">
            <v>3758</v>
          </cell>
        </row>
        <row r="502">
          <cell r="A502">
            <v>893</v>
          </cell>
          <cell r="B502" t="str">
            <v>TUBERIA PVC CORRUGADA 6"</v>
          </cell>
          <cell r="C502" t="str">
            <v>ML</v>
          </cell>
          <cell r="D502">
            <v>34663</v>
          </cell>
        </row>
        <row r="503">
          <cell r="A503">
            <v>892</v>
          </cell>
          <cell r="B503" t="str">
            <v>VALVULA DE PIE 3/4"</v>
          </cell>
          <cell r="C503" t="str">
            <v>UN</v>
          </cell>
          <cell r="D503">
            <v>89284</v>
          </cell>
        </row>
        <row r="504">
          <cell r="A504">
            <v>891</v>
          </cell>
          <cell r="B504" t="str">
            <v>UNIVERSAL DE  3/4"</v>
          </cell>
          <cell r="C504" t="str">
            <v>UN</v>
          </cell>
          <cell r="D504">
            <v>22058</v>
          </cell>
        </row>
        <row r="505">
          <cell r="A505">
            <v>890</v>
          </cell>
          <cell r="B505" t="str">
            <v>VALVULA DE PIE 1"</v>
          </cell>
          <cell r="C505" t="str">
            <v>UN</v>
          </cell>
          <cell r="D505">
            <v>149787</v>
          </cell>
        </row>
        <row r="506">
          <cell r="A506">
            <v>889</v>
          </cell>
          <cell r="B506" t="str">
            <v>UNION FLEXIBLE BORRACHA 1"</v>
          </cell>
          <cell r="C506" t="str">
            <v>UN</v>
          </cell>
          <cell r="D506">
            <v>183820</v>
          </cell>
        </row>
        <row r="507">
          <cell r="A507">
            <v>888</v>
          </cell>
          <cell r="B507" t="str">
            <v>UNIVERSAL DE  1"</v>
          </cell>
          <cell r="C507" t="str">
            <v>UN</v>
          </cell>
          <cell r="D507">
            <v>26260</v>
          </cell>
        </row>
        <row r="508">
          <cell r="A508">
            <v>887</v>
          </cell>
          <cell r="B508" t="str">
            <v>CICLOPARQUEADERO M-100 O SIMILAR</v>
          </cell>
          <cell r="C508" t="str">
            <v>UN</v>
          </cell>
          <cell r="D508">
            <v>336128</v>
          </cell>
        </row>
        <row r="509">
          <cell r="A509">
            <v>886</v>
          </cell>
          <cell r="B509" t="str">
            <v>ELEMENTOS DE FIJACION GEOMALLLA</v>
          </cell>
          <cell r="C509" t="str">
            <v>UN</v>
          </cell>
          <cell r="D509">
            <v>2626</v>
          </cell>
        </row>
        <row r="510">
          <cell r="A510">
            <v>885</v>
          </cell>
          <cell r="B510" t="str">
            <v>GEOMALLA DE REFUERZO FOTGRID</v>
          </cell>
          <cell r="C510" t="str">
            <v>M2</v>
          </cell>
          <cell r="D510">
            <v>15756</v>
          </cell>
        </row>
        <row r="511">
          <cell r="A511">
            <v>884</v>
          </cell>
          <cell r="B511" t="str">
            <v>COUPLING 3/4"</v>
          </cell>
          <cell r="C511" t="str">
            <v>UN</v>
          </cell>
          <cell r="D511">
            <v>1576</v>
          </cell>
        </row>
        <row r="512">
          <cell r="A512">
            <v>883</v>
          </cell>
          <cell r="B512" t="str">
            <v>NIPLE 1/2"</v>
          </cell>
          <cell r="C512" t="str">
            <v>UN</v>
          </cell>
          <cell r="D512">
            <v>56585</v>
          </cell>
        </row>
        <row r="513">
          <cell r="A513">
            <v>882</v>
          </cell>
          <cell r="B513" t="str">
            <v>MEDIDOR 3/4"</v>
          </cell>
          <cell r="C513" t="str">
            <v>UN</v>
          </cell>
          <cell r="D513">
            <v>182255</v>
          </cell>
        </row>
        <row r="514">
          <cell r="A514">
            <v>881</v>
          </cell>
          <cell r="B514" t="str">
            <v>CONCRETO 28 Mpa (4000 PSI)</v>
          </cell>
          <cell r="C514" t="str">
            <v>M3</v>
          </cell>
          <cell r="D514">
            <v>472585</v>
          </cell>
        </row>
        <row r="515">
          <cell r="A515">
            <v>879</v>
          </cell>
          <cell r="B515" t="str">
            <v xml:space="preserve">GRIFERIA ORINAL A PARED TIPO PUSH ENTRADA 1/2 CROMO DE CORONA </v>
          </cell>
          <cell r="C515" t="str">
            <v>UN</v>
          </cell>
          <cell r="D515">
            <v>180249</v>
          </cell>
        </row>
        <row r="516">
          <cell r="B516"/>
          <cell r="C516"/>
          <cell r="D516"/>
        </row>
        <row r="517">
          <cell r="B517">
            <v>0</v>
          </cell>
        </row>
        <row r="518">
          <cell r="B518" t="str">
            <v>DEPARTAMENTO: MAGDALENA</v>
          </cell>
        </row>
        <row r="519">
          <cell r="B519" t="str">
            <v>MUNICIPIO: FUNDACION</v>
          </cell>
        </row>
        <row r="520">
          <cell r="B520" t="str">
            <v>Centro Educativo: CENTRO EDUC ROTARIO MONTERREY</v>
          </cell>
        </row>
        <row r="521">
          <cell r="B521"/>
        </row>
        <row r="522">
          <cell r="B522" t="str">
            <v>CONTRATISTA: AVILA S.A.S</v>
          </cell>
        </row>
        <row r="523">
          <cell r="B523" t="str">
            <v>REPRESENTANTE LEGAL: ANTONIO R. AVILA CHASSAIGNE</v>
          </cell>
        </row>
        <row r="524">
          <cell r="B524"/>
        </row>
        <row r="525">
          <cell r="B525"/>
        </row>
        <row r="526">
          <cell r="B526" t="str">
            <v>RESPONSABLE: ING. MARÍA MERCEDES LOAIZA</v>
          </cell>
        </row>
        <row r="527">
          <cell r="B527" t="str">
            <v>FECHA DE PRESENTACIÓN: MAYO DE 2016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9B495-2A32-487B-A7F2-CA09EFAA6867}">
  <dimension ref="B2:E13"/>
  <sheetViews>
    <sheetView zoomScaleNormal="100" workbookViewId="0">
      <selection activeCell="E13" sqref="E13"/>
    </sheetView>
  </sheetViews>
  <sheetFormatPr defaultColWidth="11.42578125" defaultRowHeight="14.45"/>
  <cols>
    <col min="2" max="2" width="40.28515625" customWidth="1"/>
    <col min="5" max="5" width="24.28515625" style="96" customWidth="1"/>
    <col min="6" max="6" width="24.28515625" customWidth="1"/>
  </cols>
  <sheetData>
    <row r="2" spans="2:5" ht="15" thickBot="1"/>
    <row r="3" spans="2:5" ht="15" thickBot="1">
      <c r="B3" s="158" t="s">
        <v>0</v>
      </c>
      <c r="C3" s="159"/>
      <c r="D3" s="159"/>
      <c r="E3" s="160"/>
    </row>
    <row r="4" spans="2:5" ht="15" thickBot="1">
      <c r="B4" s="115" t="s">
        <v>1</v>
      </c>
      <c r="C4" s="115" t="s">
        <v>2</v>
      </c>
      <c r="D4" s="116" t="s">
        <v>3</v>
      </c>
      <c r="E4" s="117" t="s">
        <v>4</v>
      </c>
    </row>
    <row r="5" spans="2:5">
      <c r="B5" s="25" t="s">
        <v>5</v>
      </c>
      <c r="C5" s="26" t="s">
        <v>6</v>
      </c>
      <c r="D5" s="26">
        <v>1</v>
      </c>
      <c r="E5" s="107">
        <v>500000</v>
      </c>
    </row>
    <row r="6" spans="2:5">
      <c r="B6" s="25" t="s">
        <v>7</v>
      </c>
      <c r="C6" s="26" t="s">
        <v>6</v>
      </c>
      <c r="D6" s="26">
        <v>1</v>
      </c>
      <c r="E6" s="107">
        <v>1000000</v>
      </c>
    </row>
    <row r="7" spans="2:5">
      <c r="B7" s="25" t="s">
        <v>8</v>
      </c>
      <c r="C7" s="26" t="s">
        <v>6</v>
      </c>
      <c r="D7" s="26">
        <v>1</v>
      </c>
      <c r="E7" s="107">
        <v>15000000</v>
      </c>
    </row>
    <row r="8" spans="2:5">
      <c r="B8" s="25" t="s">
        <v>9</v>
      </c>
      <c r="C8" s="26" t="s">
        <v>6</v>
      </c>
      <c r="D8" s="26">
        <v>1</v>
      </c>
      <c r="E8" s="107">
        <v>3000000</v>
      </c>
    </row>
    <row r="9" spans="2:5">
      <c r="B9" s="25" t="s">
        <v>10</v>
      </c>
      <c r="C9" s="26" t="s">
        <v>6</v>
      </c>
      <c r="D9" s="26">
        <v>1</v>
      </c>
      <c r="E9" s="107">
        <v>80000000</v>
      </c>
    </row>
    <row r="10" spans="2:5">
      <c r="B10" s="25" t="s">
        <v>11</v>
      </c>
      <c r="C10" s="26" t="s">
        <v>6</v>
      </c>
      <c r="D10" s="26">
        <v>1</v>
      </c>
      <c r="E10" s="107">
        <v>30000000</v>
      </c>
    </row>
    <row r="11" spans="2:5">
      <c r="B11" s="25" t="s">
        <v>12</v>
      </c>
      <c r="C11" s="26" t="s">
        <v>6</v>
      </c>
      <c r="D11" s="26">
        <v>1</v>
      </c>
      <c r="E11" s="107">
        <v>6000000</v>
      </c>
    </row>
    <row r="12" spans="2:5">
      <c r="B12" s="25" t="s">
        <v>13</v>
      </c>
      <c r="C12" s="26" t="s">
        <v>6</v>
      </c>
      <c r="D12" s="26">
        <v>1</v>
      </c>
      <c r="E12" s="107">
        <v>10000000</v>
      </c>
    </row>
    <row r="13" spans="2:5">
      <c r="D13" s="26" t="s">
        <v>14</v>
      </c>
      <c r="E13" s="107">
        <f>SUM(E5:E12)</f>
        <v>145500000</v>
      </c>
    </row>
  </sheetData>
  <mergeCells count="1">
    <mergeCell ref="B3:E3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27F0-BF45-407D-B5BC-FA56CAA96024}">
  <dimension ref="A1:H43"/>
  <sheetViews>
    <sheetView zoomScaleNormal="100" workbookViewId="0">
      <selection activeCell="B6" sqref="B6"/>
    </sheetView>
  </sheetViews>
  <sheetFormatPr defaultColWidth="11.42578125" defaultRowHeight="10.15"/>
  <cols>
    <col min="1" max="1" width="11.42578125" style="27"/>
    <col min="2" max="2" width="43.7109375" style="55" customWidth="1"/>
    <col min="3" max="3" width="12.5703125" style="28" bestFit="1" customWidth="1"/>
    <col min="4" max="4" width="11.42578125" style="28"/>
    <col min="5" max="5" width="18.7109375" style="30" bestFit="1" customWidth="1"/>
    <col min="6" max="6" width="13" style="28" bestFit="1" customWidth="1"/>
    <col min="7" max="7" width="13.85546875" style="27" customWidth="1"/>
    <col min="8" max="16384" width="11.42578125" style="27"/>
  </cols>
  <sheetData>
    <row r="1" spans="1:8" ht="10.9" thickBot="1"/>
    <row r="2" spans="1:8" ht="14.45" customHeight="1">
      <c r="B2" s="163" t="s">
        <v>15</v>
      </c>
      <c r="C2" s="164"/>
      <c r="D2" s="164"/>
      <c r="E2" s="164"/>
      <c r="F2" s="164"/>
      <c r="G2" s="165"/>
    </row>
    <row r="3" spans="1:8" ht="15" customHeight="1" thickBot="1">
      <c r="B3" s="166"/>
      <c r="C3" s="167"/>
      <c r="D3" s="167"/>
      <c r="E3" s="167"/>
      <c r="F3" s="167"/>
      <c r="G3" s="168"/>
    </row>
    <row r="4" spans="1:8" ht="10.9" thickBot="1">
      <c r="B4" s="62" t="s">
        <v>16</v>
      </c>
      <c r="C4" s="63" t="s">
        <v>2</v>
      </c>
      <c r="D4" s="64" t="s">
        <v>3</v>
      </c>
      <c r="E4" s="65" t="s">
        <v>17</v>
      </c>
      <c r="F4" s="66" t="s">
        <v>18</v>
      </c>
      <c r="G4" s="66" t="s">
        <v>4</v>
      </c>
    </row>
    <row r="5" spans="1:8">
      <c r="B5" s="173" t="s">
        <v>19</v>
      </c>
      <c r="C5" s="174"/>
      <c r="D5" s="174"/>
      <c r="E5" s="174"/>
      <c r="F5" s="175"/>
      <c r="G5" s="58">
        <f>F6+F7+F8</f>
        <v>11077693.306</v>
      </c>
      <c r="H5" s="57"/>
    </row>
    <row r="6" spans="1:8" ht="20.25">
      <c r="A6" s="105"/>
      <c r="B6" s="25" t="s">
        <v>20</v>
      </c>
      <c r="C6" s="26" t="s">
        <v>21</v>
      </c>
      <c r="D6" s="26">
        <f>APU!H7</f>
        <v>75.55</v>
      </c>
      <c r="E6" s="29">
        <f>APU!H48</f>
        <v>0</v>
      </c>
      <c r="F6" s="29">
        <f>D6*E6</f>
        <v>0</v>
      </c>
    </row>
    <row r="7" spans="1:8" ht="21.75" customHeight="1">
      <c r="B7" s="56" t="s">
        <v>22</v>
      </c>
      <c r="C7" s="26" t="s">
        <v>23</v>
      </c>
      <c r="D7" s="26">
        <v>1140</v>
      </c>
      <c r="E7" s="29">
        <f>APU!H96</f>
        <v>5841.1342999999997</v>
      </c>
      <c r="F7" s="29">
        <f>D7*E7</f>
        <v>6658893.102</v>
      </c>
    </row>
    <row r="8" spans="1:8">
      <c r="B8" s="56" t="s">
        <v>24</v>
      </c>
      <c r="C8" s="26" t="s">
        <v>23</v>
      </c>
      <c r="D8" s="26">
        <v>644</v>
      </c>
      <c r="E8" s="29">
        <f>APU!H192</f>
        <v>6861.491</v>
      </c>
      <c r="F8" s="29">
        <f>D8*E8</f>
        <v>4418800.2039999999</v>
      </c>
    </row>
    <row r="9" spans="1:8">
      <c r="B9" s="170" t="s">
        <v>25</v>
      </c>
      <c r="C9" s="171"/>
      <c r="D9" s="171"/>
      <c r="E9" s="171"/>
      <c r="F9" s="172"/>
      <c r="G9" s="67">
        <f>F10</f>
        <v>51464267.619000003</v>
      </c>
    </row>
    <row r="10" spans="1:8" ht="20.45">
      <c r="B10" s="56" t="s">
        <v>26</v>
      </c>
      <c r="C10" s="26" t="s">
        <v>23</v>
      </c>
      <c r="D10" s="26">
        <v>491</v>
      </c>
      <c r="E10" s="29">
        <f>APU!H240</f>
        <v>104815.209</v>
      </c>
      <c r="F10" s="29">
        <f>E10*D10</f>
        <v>51464267.619000003</v>
      </c>
    </row>
    <row r="11" spans="1:8">
      <c r="B11" s="170" t="s">
        <v>27</v>
      </c>
      <c r="C11" s="171"/>
      <c r="D11" s="171"/>
      <c r="E11" s="171"/>
      <c r="F11" s="172"/>
      <c r="G11" s="67">
        <f>F12+F13</f>
        <v>33144690.936000004</v>
      </c>
    </row>
    <row r="12" spans="1:8" ht="20.45">
      <c r="B12" s="56" t="s">
        <v>28</v>
      </c>
      <c r="C12" s="26" t="s">
        <v>29</v>
      </c>
      <c r="D12" s="26">
        <v>95</v>
      </c>
      <c r="E12" s="29">
        <f>APU!H336</f>
        <v>89155.292000000001</v>
      </c>
      <c r="F12" s="29">
        <f>D12*E12</f>
        <v>8469752.7400000002</v>
      </c>
    </row>
    <row r="13" spans="1:8" ht="20.45">
      <c r="B13" s="56" t="s">
        <v>30</v>
      </c>
      <c r="C13" s="26" t="s">
        <v>29</v>
      </c>
      <c r="D13" s="26">
        <v>292</v>
      </c>
      <c r="E13" s="29">
        <f>APU!H384</f>
        <v>84503.213000000003</v>
      </c>
      <c r="F13" s="29">
        <f>D13*E13</f>
        <v>24674938.196000002</v>
      </c>
    </row>
    <row r="14" spans="1:8">
      <c r="B14" s="170" t="s">
        <v>31</v>
      </c>
      <c r="C14" s="171"/>
      <c r="D14" s="171"/>
      <c r="E14" s="171"/>
      <c r="F14" s="172"/>
      <c r="G14" s="67">
        <f>F15+F16+F17+F18+F19</f>
        <v>378074044.55970997</v>
      </c>
    </row>
    <row r="15" spans="1:8">
      <c r="B15" s="56" t="s">
        <v>32</v>
      </c>
      <c r="C15" s="26" t="s">
        <v>29</v>
      </c>
      <c r="D15" s="26">
        <v>4.25</v>
      </c>
      <c r="E15" s="29">
        <f>APU!H432</f>
        <v>538803</v>
      </c>
      <c r="F15" s="29">
        <f>E15*D15</f>
        <v>2289912.75</v>
      </c>
    </row>
    <row r="16" spans="1:8">
      <c r="B16" s="56" t="s">
        <v>33</v>
      </c>
      <c r="C16" s="26" t="s">
        <v>29</v>
      </c>
      <c r="D16" s="43">
        <f>APU!H439</f>
        <v>27.62</v>
      </c>
      <c r="E16" s="29">
        <f>APU!H480</f>
        <v>555170.12800000003</v>
      </c>
      <c r="F16" s="29">
        <f t="shared" ref="F16:F19" si="0">E16*D16</f>
        <v>15333798.935360001</v>
      </c>
    </row>
    <row r="17" spans="1:7" ht="20.45">
      <c r="B17" s="56" t="s">
        <v>34</v>
      </c>
      <c r="C17" s="26" t="s">
        <v>29</v>
      </c>
      <c r="D17" s="26">
        <v>67.349999999999994</v>
      </c>
      <c r="E17" s="29">
        <f>APU!H528</f>
        <v>532493.95700000005</v>
      </c>
      <c r="F17" s="29">
        <f t="shared" si="0"/>
        <v>35863468.00395</v>
      </c>
    </row>
    <row r="18" spans="1:7" ht="20.45">
      <c r="B18" s="56" t="s">
        <v>35</v>
      </c>
      <c r="C18" s="26" t="s">
        <v>29</v>
      </c>
      <c r="D18" s="68">
        <f>APU!H535</f>
        <v>697.6</v>
      </c>
      <c r="E18" s="29">
        <f>APU!H574</f>
        <v>457567.42</v>
      </c>
      <c r="F18" s="29">
        <f t="shared" si="0"/>
        <v>319199032.19199997</v>
      </c>
    </row>
    <row r="19" spans="1:7" ht="20.45">
      <c r="A19" s="106"/>
      <c r="B19" s="56" t="s">
        <v>36</v>
      </c>
      <c r="C19" s="26" t="s">
        <v>23</v>
      </c>
      <c r="D19" s="26">
        <v>697.6</v>
      </c>
      <c r="E19" s="29">
        <f>APU!H620</f>
        <v>7723.384</v>
      </c>
      <c r="F19" s="29">
        <f t="shared" si="0"/>
        <v>5387832.6784000006</v>
      </c>
    </row>
    <row r="20" spans="1:7">
      <c r="B20" s="170" t="s">
        <v>37</v>
      </c>
      <c r="C20" s="171"/>
      <c r="D20" s="171"/>
      <c r="E20" s="171"/>
      <c r="F20" s="172"/>
      <c r="G20" s="78">
        <f>F21+F22+F23+F24+F25+F26+F27+F28+F29+F30</f>
        <v>501684019.02413988</v>
      </c>
    </row>
    <row r="21" spans="1:7">
      <c r="B21" s="56" t="s">
        <v>38</v>
      </c>
      <c r="C21" s="26" t="s">
        <v>29</v>
      </c>
      <c r="D21" s="68">
        <f>APU!H627</f>
        <v>15.24</v>
      </c>
      <c r="E21" s="29">
        <f>APU!H668</f>
        <v>668367.12000000011</v>
      </c>
      <c r="F21" s="69">
        <f>E21*D21</f>
        <v>10185914.908800002</v>
      </c>
    </row>
    <row r="22" spans="1:7" ht="20.45">
      <c r="B22" s="56" t="s">
        <v>39</v>
      </c>
      <c r="C22" s="26" t="s">
        <v>29</v>
      </c>
      <c r="D22" s="26">
        <v>1.03</v>
      </c>
      <c r="E22" s="29">
        <f>APU!H716</f>
        <v>1897367.23</v>
      </c>
      <c r="F22" s="69">
        <f>E22*D22</f>
        <v>1954288.2469000001</v>
      </c>
    </row>
    <row r="23" spans="1:7">
      <c r="B23" s="56" t="s">
        <v>40</v>
      </c>
      <c r="C23" s="26" t="s">
        <v>29</v>
      </c>
      <c r="D23" s="68">
        <f>APU!H723</f>
        <v>2.48</v>
      </c>
      <c r="E23" s="29">
        <f>APU!H764</f>
        <v>1108729.1099999999</v>
      </c>
      <c r="F23" s="69">
        <f t="shared" ref="F23:F30" si="1">E23*D23</f>
        <v>2749648.1927999998</v>
      </c>
    </row>
    <row r="24" spans="1:7" ht="20.45">
      <c r="B24" s="56" t="s">
        <v>41</v>
      </c>
      <c r="C24" s="26" t="s">
        <v>23</v>
      </c>
      <c r="D24" s="68">
        <f>APU!H771</f>
        <v>488.39</v>
      </c>
      <c r="E24" s="29">
        <f>APU!H814</f>
        <v>477189.84080000006</v>
      </c>
      <c r="F24" s="69">
        <f t="shared" si="1"/>
        <v>233054746.34831202</v>
      </c>
    </row>
    <row r="25" spans="1:7" ht="20.45">
      <c r="B25" s="56" t="s">
        <v>42</v>
      </c>
      <c r="C25" s="26" t="s">
        <v>23</v>
      </c>
      <c r="D25" s="68">
        <f>APU!H821</f>
        <v>195.19</v>
      </c>
      <c r="E25" s="29">
        <f>APU!H864</f>
        <v>515619.45999999996</v>
      </c>
      <c r="F25" s="69">
        <f>E25*D25</f>
        <v>100643762.39739999</v>
      </c>
    </row>
    <row r="26" spans="1:7" ht="20.45">
      <c r="B26" s="56" t="s">
        <v>43</v>
      </c>
      <c r="C26" s="26" t="s">
        <v>29</v>
      </c>
      <c r="D26" s="68">
        <f>APU!H871</f>
        <v>7.29</v>
      </c>
      <c r="E26" s="29">
        <f>APU!H913</f>
        <v>728002.49600000004</v>
      </c>
      <c r="F26" s="69">
        <f t="shared" si="1"/>
        <v>5307138.1958400002</v>
      </c>
    </row>
    <row r="27" spans="1:7">
      <c r="B27" s="56" t="s">
        <v>44</v>
      </c>
      <c r="C27" s="26" t="s">
        <v>29</v>
      </c>
      <c r="D27" s="68">
        <f>APU!H920</f>
        <v>20.09</v>
      </c>
      <c r="E27" s="29">
        <f>APU!H960</f>
        <v>563131.50599999994</v>
      </c>
      <c r="F27" s="69">
        <f t="shared" si="1"/>
        <v>11313311.95554</v>
      </c>
    </row>
    <row r="28" spans="1:7">
      <c r="B28" s="56" t="s">
        <v>45</v>
      </c>
      <c r="C28" s="26" t="s">
        <v>29</v>
      </c>
      <c r="D28" s="68">
        <f>APU!H967</f>
        <v>6.82</v>
      </c>
      <c r="E28" s="29">
        <f>APU!H1009</f>
        <v>974325.8</v>
      </c>
      <c r="F28" s="69">
        <f>E28*D28</f>
        <v>6644901.9560000002</v>
      </c>
    </row>
    <row r="29" spans="1:7" ht="20.45">
      <c r="B29" s="56" t="s">
        <v>46</v>
      </c>
      <c r="C29" s="26" t="s">
        <v>29</v>
      </c>
      <c r="D29" s="26">
        <v>31.5</v>
      </c>
      <c r="E29" s="29">
        <f>APU!H1059</f>
        <v>678569.70700000005</v>
      </c>
      <c r="F29" s="69">
        <f t="shared" si="1"/>
        <v>21374945.770500001</v>
      </c>
    </row>
    <row r="30" spans="1:7">
      <c r="B30" s="56" t="s">
        <v>47</v>
      </c>
      <c r="C30" s="26" t="s">
        <v>48</v>
      </c>
      <c r="D30" s="68">
        <f>APU!H1066</f>
        <v>27294.82</v>
      </c>
      <c r="E30" s="29">
        <f>APU!H1104</f>
        <v>3973.4777899999999</v>
      </c>
      <c r="F30" s="69">
        <f t="shared" si="1"/>
        <v>108455361.05204779</v>
      </c>
    </row>
    <row r="31" spans="1:7">
      <c r="B31" s="169" t="s">
        <v>49</v>
      </c>
      <c r="C31" s="169"/>
      <c r="D31" s="169"/>
      <c r="E31" s="169"/>
      <c r="F31" s="169"/>
      <c r="G31" s="118">
        <f>G5+G9+G11+G14+G20</f>
        <v>975444715.44484985</v>
      </c>
    </row>
    <row r="32" spans="1:7" ht="14.45" customHeight="1">
      <c r="E32" s="33" t="s">
        <v>50</v>
      </c>
      <c r="F32" s="80">
        <f>AIU!D6</f>
        <v>0.18844737901539527</v>
      </c>
      <c r="G32" s="104">
        <f>G31*F32</f>
        <v>183820000</v>
      </c>
    </row>
    <row r="33" spans="2:7">
      <c r="B33" s="161" t="s">
        <v>51</v>
      </c>
      <c r="C33" s="161"/>
      <c r="E33" s="58" t="s">
        <v>52</v>
      </c>
      <c r="F33" s="80">
        <v>0.02</v>
      </c>
      <c r="G33" s="104">
        <f>G31*F33</f>
        <v>19508894.308896996</v>
      </c>
    </row>
    <row r="34" spans="2:7">
      <c r="B34" s="56" t="s">
        <v>53</v>
      </c>
      <c r="C34" s="29">
        <f>G37</f>
        <v>1225204778.2089217</v>
      </c>
      <c r="E34" s="58" t="s">
        <v>54</v>
      </c>
      <c r="F34" s="79">
        <v>0.04</v>
      </c>
      <c r="G34" s="104">
        <f>G31*F34</f>
        <v>39017788.617793992</v>
      </c>
    </row>
    <row r="35" spans="2:7">
      <c r="B35" s="56" t="s">
        <v>55</v>
      </c>
      <c r="C35" s="29">
        <f>ANTEPROYECTO!E13</f>
        <v>145500000</v>
      </c>
      <c r="E35" s="58" t="s">
        <v>56</v>
      </c>
      <c r="F35" s="80">
        <v>0.19</v>
      </c>
      <c r="G35" s="104">
        <f>G34*F35</f>
        <v>7413379.8373808581</v>
      </c>
    </row>
    <row r="36" spans="2:7">
      <c r="B36" s="114" t="s">
        <v>57</v>
      </c>
      <c r="C36" s="123">
        <f>SUM(C34:C35)</f>
        <v>1370704778.2089217</v>
      </c>
      <c r="E36" s="162" t="s">
        <v>58</v>
      </c>
      <c r="F36" s="162"/>
      <c r="G36" s="118">
        <f>G32+G33+G34+G35</f>
        <v>249760062.76407185</v>
      </c>
    </row>
    <row r="37" spans="2:7">
      <c r="C37" s="108"/>
      <c r="E37" s="162" t="s">
        <v>59</v>
      </c>
      <c r="F37" s="162"/>
      <c r="G37" s="119">
        <f>G31+G36</f>
        <v>1225204778.2089217</v>
      </c>
    </row>
    <row r="38" spans="2:7">
      <c r="C38" s="30"/>
      <c r="G38" s="57"/>
    </row>
    <row r="40" spans="2:7" ht="10.15" customHeight="1">
      <c r="B40" s="27"/>
      <c r="C40" s="27"/>
      <c r="D40" s="27"/>
      <c r="E40" s="27"/>
      <c r="F40" s="27"/>
    </row>
    <row r="43" spans="2:7">
      <c r="G43" s="57"/>
    </row>
  </sheetData>
  <mergeCells count="10">
    <mergeCell ref="B33:C33"/>
    <mergeCell ref="E37:F37"/>
    <mergeCell ref="B2:G3"/>
    <mergeCell ref="B31:F31"/>
    <mergeCell ref="B20:F20"/>
    <mergeCell ref="B14:F14"/>
    <mergeCell ref="B5:F5"/>
    <mergeCell ref="B9:F9"/>
    <mergeCell ref="B11:F11"/>
    <mergeCell ref="E36:F36"/>
  </mergeCells>
  <phoneticPr fontId="8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CC14-4555-4D2A-AAF4-74CCB3CEAD0C}">
  <dimension ref="B3:H28"/>
  <sheetViews>
    <sheetView workbookViewId="0">
      <selection activeCell="D6" sqref="D6"/>
    </sheetView>
  </sheetViews>
  <sheetFormatPr defaultColWidth="11.42578125" defaultRowHeight="14.45"/>
  <cols>
    <col min="2" max="2" width="26.140625" style="95" bestFit="1" customWidth="1"/>
    <col min="3" max="5" width="11.5703125" style="95"/>
    <col min="6" max="6" width="14" style="96" bestFit="1" customWidth="1"/>
    <col min="7" max="7" width="25" bestFit="1" customWidth="1"/>
    <col min="8" max="8" width="15" bestFit="1" customWidth="1"/>
  </cols>
  <sheetData>
    <row r="3" spans="2:8" ht="15.6">
      <c r="B3" s="59" t="s">
        <v>60</v>
      </c>
      <c r="C3" s="176">
        <f>+PRESUPUESTO!G31</f>
        <v>975444715.44484985</v>
      </c>
      <c r="D3" s="177"/>
    </row>
    <row r="5" spans="2:8" ht="14.45" customHeight="1">
      <c r="B5" s="59" t="s">
        <v>61</v>
      </c>
      <c r="C5" s="59" t="s">
        <v>2</v>
      </c>
      <c r="D5" s="59" t="s">
        <v>3</v>
      </c>
      <c r="E5" s="59" t="s">
        <v>62</v>
      </c>
      <c r="F5" s="109" t="s">
        <v>63</v>
      </c>
      <c r="G5" s="110" t="s">
        <v>64</v>
      </c>
      <c r="H5" s="110" t="s">
        <v>65</v>
      </c>
    </row>
    <row r="6" spans="2:8">
      <c r="B6" s="120" t="s">
        <v>50</v>
      </c>
      <c r="C6" s="59" t="s">
        <v>66</v>
      </c>
      <c r="D6" s="111">
        <f>H17/C3</f>
        <v>0.18844737901539527</v>
      </c>
    </row>
    <row r="7" spans="2:8">
      <c r="B7" s="26" t="s">
        <v>67</v>
      </c>
      <c r="C7" s="26" t="s">
        <v>68</v>
      </c>
      <c r="D7" s="26">
        <v>1</v>
      </c>
      <c r="E7" s="26">
        <v>4</v>
      </c>
      <c r="F7" s="100">
        <v>10000000</v>
      </c>
      <c r="G7" s="26">
        <v>1.6</v>
      </c>
      <c r="H7" s="100">
        <f>F7*G7*E7</f>
        <v>64000000</v>
      </c>
    </row>
    <row r="8" spans="2:8">
      <c r="B8" s="26" t="s">
        <v>69</v>
      </c>
      <c r="C8" s="26" t="s">
        <v>68</v>
      </c>
      <c r="D8" s="26">
        <v>1</v>
      </c>
      <c r="E8" s="26">
        <v>4</v>
      </c>
      <c r="F8" s="100">
        <v>6500000</v>
      </c>
      <c r="G8" s="26">
        <v>1.6</v>
      </c>
      <c r="H8" s="100">
        <f t="shared" ref="H8:H11" si="0">F8*G8*E8</f>
        <v>41600000</v>
      </c>
    </row>
    <row r="9" spans="2:8">
      <c r="B9" s="26" t="s">
        <v>70</v>
      </c>
      <c r="C9" s="26" t="s">
        <v>68</v>
      </c>
      <c r="D9" s="26">
        <v>1</v>
      </c>
      <c r="E9" s="26">
        <v>4</v>
      </c>
      <c r="F9" s="100">
        <v>4200000</v>
      </c>
      <c r="G9" s="26">
        <v>1.6</v>
      </c>
      <c r="H9" s="100">
        <f t="shared" si="0"/>
        <v>26880000</v>
      </c>
    </row>
    <row r="10" spans="2:8">
      <c r="B10" s="26" t="s">
        <v>71</v>
      </c>
      <c r="C10" s="26" t="s">
        <v>68</v>
      </c>
      <c r="D10" s="26">
        <v>1</v>
      </c>
      <c r="E10" s="26">
        <v>4</v>
      </c>
      <c r="F10" s="100">
        <v>1300000</v>
      </c>
      <c r="G10" s="26">
        <v>1.6</v>
      </c>
      <c r="H10" s="100">
        <f t="shared" si="0"/>
        <v>8320000</v>
      </c>
    </row>
    <row r="11" spans="2:8">
      <c r="B11" s="26" t="s">
        <v>72</v>
      </c>
      <c r="C11" s="26" t="s">
        <v>68</v>
      </c>
      <c r="D11" s="26">
        <v>1</v>
      </c>
      <c r="E11" s="26">
        <v>4</v>
      </c>
      <c r="F11" s="100">
        <v>1300000</v>
      </c>
      <c r="G11" s="26">
        <v>1.6</v>
      </c>
      <c r="H11" s="100">
        <f t="shared" si="0"/>
        <v>8320000</v>
      </c>
    </row>
    <row r="12" spans="2:8">
      <c r="B12" s="26"/>
      <c r="C12" s="26"/>
      <c r="D12" s="26"/>
      <c r="E12" s="26"/>
      <c r="F12" s="100"/>
      <c r="G12" s="26" t="s">
        <v>18</v>
      </c>
      <c r="H12" s="100">
        <f>SUM(H7:H11)</f>
        <v>149120000</v>
      </c>
    </row>
    <row r="13" spans="2:8">
      <c r="B13" s="26"/>
      <c r="C13" s="26"/>
      <c r="D13" s="26"/>
      <c r="E13" s="26"/>
      <c r="F13" s="100"/>
      <c r="G13" s="26"/>
      <c r="H13" s="100"/>
    </row>
    <row r="14" spans="2:8">
      <c r="B14" s="26" t="s">
        <v>73</v>
      </c>
      <c r="C14" s="26" t="s">
        <v>68</v>
      </c>
      <c r="D14" s="26">
        <v>1</v>
      </c>
      <c r="E14" s="26">
        <v>4</v>
      </c>
      <c r="F14" s="100">
        <v>1800000</v>
      </c>
      <c r="G14" s="26" t="s">
        <v>74</v>
      </c>
      <c r="H14" s="100">
        <f>F14*E14</f>
        <v>7200000</v>
      </c>
    </row>
    <row r="15" spans="2:8">
      <c r="B15" s="26" t="s">
        <v>75</v>
      </c>
      <c r="C15" s="26" t="s">
        <v>68</v>
      </c>
      <c r="D15" s="26">
        <v>1</v>
      </c>
      <c r="E15" s="26">
        <v>11</v>
      </c>
      <c r="F15" s="100">
        <v>2500000</v>
      </c>
      <c r="G15" s="26" t="s">
        <v>74</v>
      </c>
      <c r="H15" s="100">
        <f>F15*E15</f>
        <v>27500000</v>
      </c>
    </row>
    <row r="16" spans="2:8">
      <c r="B16" s="26"/>
      <c r="C16" s="26"/>
      <c r="D16" s="26"/>
      <c r="E16" s="26"/>
      <c r="F16" s="98"/>
      <c r="G16" s="26" t="s">
        <v>18</v>
      </c>
      <c r="H16" s="100">
        <f>H14+H15</f>
        <v>34700000</v>
      </c>
    </row>
    <row r="17" spans="2:8">
      <c r="B17" s="26"/>
      <c r="C17" s="26"/>
      <c r="D17" s="26"/>
      <c r="E17" s="26"/>
      <c r="F17" s="98"/>
      <c r="G17" s="26" t="s">
        <v>76</v>
      </c>
      <c r="H17" s="124">
        <f>H12+H16</f>
        <v>183820000</v>
      </c>
    </row>
    <row r="18" spans="2:8">
      <c r="F18" s="97"/>
      <c r="G18" s="95"/>
      <c r="H18" s="101"/>
    </row>
    <row r="19" spans="2:8">
      <c r="B19" s="121" t="s">
        <v>52</v>
      </c>
      <c r="C19" s="112" t="s">
        <v>66</v>
      </c>
      <c r="D19" s="113">
        <f>H20/C3</f>
        <v>0.02</v>
      </c>
      <c r="F19" s="97"/>
      <c r="G19" s="95"/>
      <c r="H19" s="102"/>
    </row>
    <row r="20" spans="2:8">
      <c r="B20" s="26" t="s">
        <v>77</v>
      </c>
      <c r="C20" s="26" t="s">
        <v>78</v>
      </c>
      <c r="D20" s="26">
        <v>1</v>
      </c>
      <c r="E20" s="99">
        <v>0.02</v>
      </c>
      <c r="F20" s="26" t="s">
        <v>74</v>
      </c>
      <c r="G20" s="26" t="s">
        <v>74</v>
      </c>
      <c r="H20" s="124">
        <f>E20*C3</f>
        <v>19508894.308896996</v>
      </c>
    </row>
    <row r="21" spans="2:8">
      <c r="H21" s="103"/>
    </row>
    <row r="22" spans="2:8">
      <c r="B22" s="122" t="s">
        <v>54</v>
      </c>
      <c r="C22" s="112" t="s">
        <v>66</v>
      </c>
      <c r="D22" s="113">
        <v>0.04</v>
      </c>
      <c r="F22" s="97"/>
      <c r="G22" s="95"/>
      <c r="H22" s="102"/>
    </row>
    <row r="23" spans="2:8">
      <c r="B23" s="26" t="s">
        <v>54</v>
      </c>
      <c r="C23" s="26" t="s">
        <v>74</v>
      </c>
      <c r="D23" s="26">
        <v>1</v>
      </c>
      <c r="E23" s="99">
        <v>0.04</v>
      </c>
      <c r="F23" s="26" t="s">
        <v>74</v>
      </c>
      <c r="G23" s="26" t="s">
        <v>74</v>
      </c>
      <c r="H23" s="124">
        <f>E23*C3</f>
        <v>39017788.617793992</v>
      </c>
    </row>
    <row r="25" spans="2:8">
      <c r="B25" s="112" t="s">
        <v>56</v>
      </c>
      <c r="C25" s="112" t="s">
        <v>66</v>
      </c>
      <c r="D25" s="113">
        <f>H26/PRESUPUESTO!G34</f>
        <v>0.19</v>
      </c>
      <c r="F25" s="97"/>
      <c r="G25" s="95"/>
      <c r="H25" s="102"/>
    </row>
    <row r="26" spans="2:8">
      <c r="B26" s="26" t="s">
        <v>56</v>
      </c>
      <c r="C26" s="26" t="s">
        <v>74</v>
      </c>
      <c r="D26" s="26">
        <v>1</v>
      </c>
      <c r="E26" s="99">
        <v>0.19</v>
      </c>
      <c r="F26" s="26" t="s">
        <v>74</v>
      </c>
      <c r="G26" s="26" t="s">
        <v>74</v>
      </c>
      <c r="H26" s="124">
        <f>E26*H23</f>
        <v>7413379.8373808581</v>
      </c>
    </row>
    <row r="28" spans="2:8" ht="15.6">
      <c r="B28" s="59" t="s">
        <v>79</v>
      </c>
      <c r="C28" s="176">
        <f>H17+H20+H23+H26</f>
        <v>249760062.76407185</v>
      </c>
      <c r="D28" s="177"/>
    </row>
  </sheetData>
  <mergeCells count="2">
    <mergeCell ref="C3:D3"/>
    <mergeCell ref="C28:D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12F1-562B-4DD4-9AA2-49569528D504}">
  <dimension ref="B1:K1105"/>
  <sheetViews>
    <sheetView tabSelected="1" topLeftCell="A338" zoomScale="115" zoomScaleNormal="115" workbookViewId="0">
      <selection activeCell="H48" sqref="H48"/>
    </sheetView>
  </sheetViews>
  <sheetFormatPr defaultColWidth="11.42578125" defaultRowHeight="14.45"/>
  <cols>
    <col min="1" max="2" width="11.42578125" style="31"/>
    <col min="3" max="3" width="3.5703125" style="31" bestFit="1" customWidth="1"/>
    <col min="4" max="4" width="14" style="31" customWidth="1"/>
    <col min="5" max="5" width="15.42578125" style="31" customWidth="1"/>
    <col min="6" max="6" width="13.140625" style="31" bestFit="1" customWidth="1"/>
    <col min="7" max="7" width="26.7109375" style="75" bestFit="1" customWidth="1"/>
    <col min="8" max="8" width="16.5703125" style="31" bestFit="1" customWidth="1"/>
    <col min="9" max="16384" width="11.42578125" style="31"/>
  </cols>
  <sheetData>
    <row r="1" spans="2:8" ht="15" thickBot="1"/>
    <row r="2" spans="2:8">
      <c r="B2" s="152" t="s">
        <v>80</v>
      </c>
      <c r="C2" s="153"/>
      <c r="D2" s="153"/>
      <c r="E2" s="153"/>
      <c r="F2" s="153"/>
      <c r="G2" s="153"/>
      <c r="H2" s="154"/>
    </row>
    <row r="3" spans="2:8" ht="15" thickBot="1">
      <c r="B3" s="155"/>
      <c r="C3" s="156"/>
      <c r="D3" s="156"/>
      <c r="E3" s="156"/>
      <c r="F3" s="156"/>
      <c r="G3" s="156"/>
      <c r="H3" s="157"/>
    </row>
    <row r="4" spans="2:8">
      <c r="B4" s="141" t="s">
        <v>81</v>
      </c>
      <c r="C4" s="142"/>
      <c r="D4" s="143" t="s">
        <v>19</v>
      </c>
      <c r="E4" s="144"/>
      <c r="F4" s="144"/>
      <c r="G4" s="144"/>
      <c r="H4" s="145"/>
    </row>
    <row r="5" spans="2:8">
      <c r="B5" s="146" t="s">
        <v>82</v>
      </c>
      <c r="C5" s="147"/>
      <c r="D5" s="147"/>
      <c r="E5" s="147"/>
      <c r="F5" s="147"/>
      <c r="G5" s="147"/>
      <c r="H5" s="148"/>
    </row>
    <row r="6" spans="2:8">
      <c r="B6" s="32" t="s">
        <v>83</v>
      </c>
      <c r="C6" s="26"/>
      <c r="D6" s="28"/>
      <c r="E6" s="28"/>
      <c r="F6" s="28"/>
      <c r="G6" s="70" t="s">
        <v>84</v>
      </c>
      <c r="H6" s="34" t="s">
        <v>21</v>
      </c>
    </row>
    <row r="7" spans="2:8">
      <c r="B7" s="35"/>
      <c r="C7" s="28"/>
      <c r="D7" s="28"/>
      <c r="E7" s="28"/>
      <c r="F7" s="28"/>
      <c r="G7" s="70" t="s">
        <v>85</v>
      </c>
      <c r="H7" s="36">
        <v>75.55</v>
      </c>
    </row>
    <row r="8" spans="2:8">
      <c r="B8" s="131" t="s">
        <v>86</v>
      </c>
      <c r="C8" s="132"/>
      <c r="D8" s="132"/>
      <c r="E8" s="132"/>
      <c r="F8" s="132"/>
      <c r="G8" s="132"/>
      <c r="H8" s="133"/>
    </row>
    <row r="9" spans="2:8">
      <c r="B9" s="128" t="s">
        <v>1</v>
      </c>
      <c r="C9" s="129"/>
      <c r="D9" s="130"/>
      <c r="E9" s="33" t="s">
        <v>84</v>
      </c>
      <c r="F9" s="33" t="s">
        <v>87</v>
      </c>
      <c r="G9" s="70" t="s">
        <v>63</v>
      </c>
      <c r="H9" s="37" t="s">
        <v>18</v>
      </c>
    </row>
    <row r="10" spans="2:8">
      <c r="B10" s="125"/>
      <c r="C10" s="126"/>
      <c r="D10" s="127"/>
      <c r="E10" s="26"/>
      <c r="F10" s="26"/>
      <c r="G10" s="71"/>
      <c r="H10" s="38">
        <f>F10*G10</f>
        <v>0</v>
      </c>
    </row>
    <row r="11" spans="2:8">
      <c r="B11" s="125"/>
      <c r="C11" s="126"/>
      <c r="D11" s="127"/>
      <c r="E11" s="26"/>
      <c r="F11" s="26"/>
      <c r="G11" s="71"/>
      <c r="H11" s="38">
        <f t="shared" ref="H11:H12" si="0">F11*G11</f>
        <v>0</v>
      </c>
    </row>
    <row r="12" spans="2:8">
      <c r="B12" s="125"/>
      <c r="C12" s="126"/>
      <c r="D12" s="127"/>
      <c r="E12" s="26"/>
      <c r="F12" s="26"/>
      <c r="G12" s="71"/>
      <c r="H12" s="38">
        <f t="shared" si="0"/>
        <v>0</v>
      </c>
    </row>
    <row r="13" spans="2:8">
      <c r="B13" s="39"/>
      <c r="C13" s="40"/>
      <c r="D13" s="40"/>
      <c r="E13" s="28"/>
      <c r="F13" s="28"/>
      <c r="G13" s="70" t="s">
        <v>88</v>
      </c>
      <c r="H13" s="41">
        <f>SUM(H10:H12)</f>
        <v>0</v>
      </c>
    </row>
    <row r="14" spans="2:8">
      <c r="B14" s="35"/>
      <c r="C14" s="28"/>
      <c r="D14" s="28"/>
      <c r="E14" s="28"/>
      <c r="F14" s="28"/>
      <c r="G14" s="72"/>
      <c r="H14" s="36"/>
    </row>
    <row r="15" spans="2:8">
      <c r="B15" s="131" t="s">
        <v>89</v>
      </c>
      <c r="C15" s="132"/>
      <c r="D15" s="132"/>
      <c r="E15" s="132"/>
      <c r="F15" s="132"/>
      <c r="G15" s="132"/>
      <c r="H15" s="133"/>
    </row>
    <row r="16" spans="2:8">
      <c r="B16" s="128" t="s">
        <v>1</v>
      </c>
      <c r="C16" s="129"/>
      <c r="D16" s="130"/>
      <c r="E16" s="33" t="s">
        <v>90</v>
      </c>
      <c r="F16" s="33" t="s">
        <v>87</v>
      </c>
      <c r="G16" s="70" t="s">
        <v>63</v>
      </c>
      <c r="H16" s="37" t="s">
        <v>18</v>
      </c>
    </row>
    <row r="17" spans="2:8">
      <c r="B17" s="125" t="s">
        <v>91</v>
      </c>
      <c r="C17" s="126"/>
      <c r="D17" s="127"/>
      <c r="E17" s="26" t="s">
        <v>21</v>
      </c>
      <c r="F17" s="42">
        <v>1.34</v>
      </c>
      <c r="G17" s="73">
        <v>1617</v>
      </c>
      <c r="H17" s="38">
        <f>F17*G17</f>
        <v>2166.7800000000002</v>
      </c>
    </row>
    <row r="18" spans="2:8">
      <c r="B18" s="125" t="s">
        <v>92</v>
      </c>
      <c r="C18" s="126"/>
      <c r="D18" s="127"/>
      <c r="E18" s="26" t="s">
        <v>93</v>
      </c>
      <c r="F18" s="42">
        <v>0.05</v>
      </c>
      <c r="G18" s="73">
        <v>3781</v>
      </c>
      <c r="H18" s="38">
        <f t="shared" ref="H18:H21" si="1">F18*G18</f>
        <v>189.05</v>
      </c>
    </row>
    <row r="19" spans="2:8">
      <c r="B19" s="125" t="s">
        <v>94</v>
      </c>
      <c r="C19" s="126"/>
      <c r="D19" s="127"/>
      <c r="E19" s="26" t="s">
        <v>29</v>
      </c>
      <c r="F19" s="81">
        <v>5.0000000000000001E-3</v>
      </c>
      <c r="G19" s="73">
        <v>321369</v>
      </c>
      <c r="H19" s="38">
        <f t="shared" si="1"/>
        <v>1606.845</v>
      </c>
    </row>
    <row r="20" spans="2:8">
      <c r="B20" s="125" t="s">
        <v>95</v>
      </c>
      <c r="C20" s="126"/>
      <c r="D20" s="127"/>
      <c r="E20" s="26" t="s">
        <v>23</v>
      </c>
      <c r="F20" s="42">
        <v>2.2000000000000002</v>
      </c>
      <c r="G20" s="73">
        <v>1786</v>
      </c>
      <c r="H20" s="38">
        <f t="shared" si="1"/>
        <v>3929.2000000000003</v>
      </c>
    </row>
    <row r="21" spans="2:8">
      <c r="B21" s="125" t="s">
        <v>96</v>
      </c>
      <c r="C21" s="126"/>
      <c r="D21" s="127"/>
      <c r="E21" s="26" t="s">
        <v>93</v>
      </c>
      <c r="F21" s="42">
        <v>2.1999999999999999E-2</v>
      </c>
      <c r="G21" s="73">
        <v>3392</v>
      </c>
      <c r="H21" s="38">
        <f t="shared" si="1"/>
        <v>74.623999999999995</v>
      </c>
    </row>
    <row r="22" spans="2:8">
      <c r="B22" s="35"/>
      <c r="C22" s="28"/>
      <c r="D22" s="28"/>
      <c r="E22" s="28"/>
      <c r="F22" s="28"/>
      <c r="G22" s="70" t="s">
        <v>97</v>
      </c>
      <c r="H22" s="41">
        <f>SUM(H17:H21)</f>
        <v>7966.4989999999998</v>
      </c>
    </row>
    <row r="23" spans="2:8">
      <c r="B23" s="35"/>
      <c r="C23" s="28"/>
      <c r="D23" s="28"/>
      <c r="E23" s="28"/>
      <c r="F23" s="28"/>
      <c r="G23" s="72"/>
      <c r="H23" s="36"/>
    </row>
    <row r="24" spans="2:8">
      <c r="B24" s="131" t="s">
        <v>98</v>
      </c>
      <c r="C24" s="132"/>
      <c r="D24" s="132"/>
      <c r="E24" s="132"/>
      <c r="F24" s="132"/>
      <c r="G24" s="132"/>
      <c r="H24" s="133"/>
    </row>
    <row r="25" spans="2:8">
      <c r="B25" s="128" t="s">
        <v>1</v>
      </c>
      <c r="C25" s="129"/>
      <c r="D25" s="130"/>
      <c r="E25" s="33" t="s">
        <v>90</v>
      </c>
      <c r="F25" s="33" t="s">
        <v>87</v>
      </c>
      <c r="G25" s="70" t="s">
        <v>63</v>
      </c>
      <c r="H25" s="37" t="s">
        <v>18</v>
      </c>
    </row>
    <row r="26" spans="2:8">
      <c r="B26" s="125" t="s">
        <v>99</v>
      </c>
      <c r="C26" s="126"/>
      <c r="D26" s="127"/>
      <c r="E26" s="26" t="s">
        <v>100</v>
      </c>
      <c r="F26" s="26">
        <v>9.2700000000000005E-2</v>
      </c>
      <c r="G26" s="71">
        <v>77564</v>
      </c>
      <c r="H26" s="38">
        <f>G26*F26</f>
        <v>7190.1828000000005</v>
      </c>
    </row>
    <row r="27" spans="2:8">
      <c r="B27" s="125"/>
      <c r="C27" s="126"/>
      <c r="D27" s="127"/>
      <c r="E27" s="26"/>
      <c r="F27" s="26"/>
      <c r="G27" s="71"/>
      <c r="H27" s="38">
        <f t="shared" ref="H27" si="2">F27*G27</f>
        <v>0</v>
      </c>
    </row>
    <row r="28" spans="2:8">
      <c r="B28" s="125"/>
      <c r="C28" s="126"/>
      <c r="D28" s="127"/>
      <c r="E28" s="26"/>
      <c r="F28" s="26"/>
      <c r="G28" s="71"/>
      <c r="H28" s="38"/>
    </row>
    <row r="29" spans="2:8">
      <c r="B29" s="125"/>
      <c r="C29" s="126"/>
      <c r="D29" s="127"/>
      <c r="E29" s="26"/>
      <c r="F29" s="26"/>
      <c r="G29" s="71"/>
      <c r="H29" s="38">
        <f t="shared" ref="H29" si="3">F29*G29</f>
        <v>0</v>
      </c>
    </row>
    <row r="30" spans="2:8">
      <c r="B30" s="35"/>
      <c r="C30" s="28"/>
      <c r="D30" s="28"/>
      <c r="E30" s="28"/>
      <c r="F30" s="28"/>
      <c r="G30" s="70" t="s">
        <v>101</v>
      </c>
      <c r="H30" s="41">
        <f>SUM(H26:H29)</f>
        <v>7190.1828000000005</v>
      </c>
    </row>
    <row r="31" spans="2:8">
      <c r="B31" s="35"/>
      <c r="C31" s="28"/>
      <c r="D31" s="28"/>
      <c r="E31" s="28"/>
      <c r="F31" s="28"/>
      <c r="G31" s="72"/>
      <c r="H31" s="36"/>
    </row>
    <row r="32" spans="2:8">
      <c r="B32" s="131" t="s">
        <v>102</v>
      </c>
      <c r="C32" s="132"/>
      <c r="D32" s="132"/>
      <c r="E32" s="132"/>
      <c r="F32" s="132"/>
      <c r="G32" s="132"/>
      <c r="H32" s="133"/>
    </row>
    <row r="33" spans="2:8">
      <c r="B33" s="128" t="s">
        <v>1</v>
      </c>
      <c r="C33" s="129"/>
      <c r="D33" s="130"/>
      <c r="E33" s="33" t="s">
        <v>90</v>
      </c>
      <c r="F33" s="33" t="s">
        <v>87</v>
      </c>
      <c r="G33" s="70" t="s">
        <v>63</v>
      </c>
      <c r="H33" s="37" t="s">
        <v>18</v>
      </c>
    </row>
    <row r="34" spans="2:8">
      <c r="B34" s="125"/>
      <c r="C34" s="126"/>
      <c r="D34" s="127"/>
      <c r="E34" s="26"/>
      <c r="F34" s="26"/>
      <c r="G34" s="71"/>
      <c r="H34" s="38">
        <f>F34*G34</f>
        <v>0</v>
      </c>
    </row>
    <row r="35" spans="2:8">
      <c r="B35" s="125"/>
      <c r="C35" s="126"/>
      <c r="D35" s="127"/>
      <c r="E35" s="26"/>
      <c r="F35" s="26"/>
      <c r="G35" s="71"/>
      <c r="H35" s="38">
        <f t="shared" ref="H35:H36" si="4">F35*G35</f>
        <v>0</v>
      </c>
    </row>
    <row r="36" spans="2:8">
      <c r="B36" s="125"/>
      <c r="C36" s="126"/>
      <c r="D36" s="127"/>
      <c r="E36" s="26"/>
      <c r="F36" s="26"/>
      <c r="G36" s="71"/>
      <c r="H36" s="38">
        <f t="shared" si="4"/>
        <v>0</v>
      </c>
    </row>
    <row r="37" spans="2:8">
      <c r="B37" s="35"/>
      <c r="C37" s="28"/>
      <c r="D37" s="28"/>
      <c r="E37" s="28"/>
      <c r="F37" s="28"/>
      <c r="G37" s="70" t="s">
        <v>103</v>
      </c>
      <c r="H37" s="41">
        <f>SUM(H34:H36)</f>
        <v>0</v>
      </c>
    </row>
    <row r="38" spans="2:8">
      <c r="B38" s="35"/>
      <c r="C38" s="28"/>
      <c r="D38" s="28"/>
      <c r="E38" s="28"/>
      <c r="F38" s="28"/>
      <c r="G38" s="72"/>
      <c r="H38" s="36"/>
    </row>
    <row r="39" spans="2:8">
      <c r="B39" s="131" t="s">
        <v>104</v>
      </c>
      <c r="C39" s="132"/>
      <c r="D39" s="132"/>
      <c r="E39" s="132"/>
      <c r="F39" s="132"/>
      <c r="G39" s="132"/>
      <c r="H39" s="133"/>
    </row>
    <row r="40" spans="2:8">
      <c r="B40" s="128" t="s">
        <v>1</v>
      </c>
      <c r="C40" s="129"/>
      <c r="D40" s="130"/>
      <c r="E40" s="33" t="s">
        <v>90</v>
      </c>
      <c r="F40" s="33" t="s">
        <v>87</v>
      </c>
      <c r="G40" s="70" t="s">
        <v>63</v>
      </c>
      <c r="H40" s="37" t="s">
        <v>18</v>
      </c>
    </row>
    <row r="41" spans="2:8">
      <c r="B41" s="125" t="s">
        <v>105</v>
      </c>
      <c r="C41" s="126"/>
      <c r="D41" s="127"/>
      <c r="E41" s="26" t="s">
        <v>74</v>
      </c>
      <c r="F41" s="43">
        <v>5</v>
      </c>
      <c r="G41" s="71">
        <v>1000</v>
      </c>
      <c r="H41" s="38">
        <f>G41*F41</f>
        <v>5000</v>
      </c>
    </row>
    <row r="42" spans="2:8">
      <c r="B42" s="125"/>
      <c r="C42" s="126"/>
      <c r="D42" s="127"/>
      <c r="E42" s="26"/>
      <c r="F42" s="26"/>
      <c r="G42" s="71"/>
      <c r="H42" s="38">
        <f t="shared" ref="H42:H44" si="5">F42*G42</f>
        <v>0</v>
      </c>
    </row>
    <row r="43" spans="2:8">
      <c r="B43" s="125"/>
      <c r="C43" s="126"/>
      <c r="D43" s="127"/>
      <c r="E43" s="26"/>
      <c r="F43" s="26"/>
      <c r="G43" s="71"/>
      <c r="H43" s="38">
        <f t="shared" si="5"/>
        <v>0</v>
      </c>
    </row>
    <row r="44" spans="2:8">
      <c r="B44" s="125"/>
      <c r="C44" s="126"/>
      <c r="D44" s="127"/>
      <c r="E44" s="26"/>
      <c r="F44" s="26"/>
      <c r="G44" s="71"/>
      <c r="H44" s="38">
        <f t="shared" si="5"/>
        <v>0</v>
      </c>
    </row>
    <row r="45" spans="2:8">
      <c r="B45" s="35"/>
      <c r="C45" s="28"/>
      <c r="D45" s="28"/>
      <c r="E45" s="28"/>
      <c r="F45" s="28"/>
      <c r="G45" s="70" t="s">
        <v>103</v>
      </c>
      <c r="H45" s="41">
        <f>SUM(H41:H44)</f>
        <v>5000</v>
      </c>
    </row>
    <row r="46" spans="2:8">
      <c r="B46" s="35"/>
      <c r="C46" s="28"/>
      <c r="D46" s="28"/>
      <c r="E46" s="28"/>
      <c r="F46" s="28"/>
      <c r="G46" s="72"/>
      <c r="H46" s="36"/>
    </row>
    <row r="47" spans="2:8">
      <c r="B47" s="35"/>
      <c r="C47" s="28"/>
      <c r="D47" s="28"/>
      <c r="E47" s="28"/>
      <c r="F47" s="28"/>
      <c r="G47" s="72"/>
      <c r="H47" s="36"/>
    </row>
    <row r="48" spans="2:8" ht="15">
      <c r="B48" s="35"/>
      <c r="C48" s="28"/>
      <c r="D48" s="28"/>
      <c r="E48" s="28"/>
      <c r="F48" s="28"/>
      <c r="G48" s="74" t="s">
        <v>49</v>
      </c>
      <c r="H48" s="44"/>
    </row>
    <row r="49" spans="2:11" ht="15" thickBot="1">
      <c r="B49" s="45"/>
      <c r="C49" s="46"/>
      <c r="D49" s="46"/>
      <c r="E49" s="46"/>
      <c r="F49" s="46"/>
      <c r="G49" s="76"/>
      <c r="H49" s="47"/>
    </row>
    <row r="50" spans="2:11" s="60" customFormat="1">
      <c r="G50" s="77"/>
    </row>
    <row r="51" spans="2:11" s="60" customFormat="1" ht="15" thickBot="1">
      <c r="G51" s="77"/>
    </row>
    <row r="52" spans="2:11">
      <c r="B52" s="141" t="s">
        <v>81</v>
      </c>
      <c r="C52" s="142"/>
      <c r="D52" s="143" t="s">
        <v>19</v>
      </c>
      <c r="E52" s="144"/>
      <c r="F52" s="144"/>
      <c r="G52" s="144"/>
      <c r="H52" s="145"/>
    </row>
    <row r="53" spans="2:11">
      <c r="B53" s="146" t="s">
        <v>106</v>
      </c>
      <c r="C53" s="147"/>
      <c r="D53" s="147"/>
      <c r="E53" s="147"/>
      <c r="F53" s="147"/>
      <c r="G53" s="147"/>
      <c r="H53" s="148"/>
    </row>
    <row r="54" spans="2:11">
      <c r="B54" s="32" t="s">
        <v>83</v>
      </c>
      <c r="C54" s="26"/>
      <c r="D54" s="28"/>
      <c r="E54" s="28"/>
      <c r="F54" s="28"/>
      <c r="G54" s="70" t="s">
        <v>84</v>
      </c>
      <c r="H54" s="34" t="s">
        <v>23</v>
      </c>
    </row>
    <row r="55" spans="2:11">
      <c r="B55" s="35"/>
      <c r="C55" s="28"/>
      <c r="D55" s="28"/>
      <c r="E55" s="28"/>
      <c r="F55" s="28"/>
      <c r="G55" s="70" t="s">
        <v>85</v>
      </c>
      <c r="H55" s="48">
        <v>1140</v>
      </c>
    </row>
    <row r="56" spans="2:11">
      <c r="B56" s="131" t="s">
        <v>86</v>
      </c>
      <c r="C56" s="132"/>
      <c r="D56" s="132"/>
      <c r="E56" s="132"/>
      <c r="F56" s="132"/>
      <c r="G56" s="132"/>
      <c r="H56" s="133"/>
      <c r="K56" s="31" t="s">
        <v>107</v>
      </c>
    </row>
    <row r="57" spans="2:11">
      <c r="B57" s="128" t="s">
        <v>1</v>
      </c>
      <c r="C57" s="129"/>
      <c r="D57" s="130"/>
      <c r="E57" s="33" t="s">
        <v>84</v>
      </c>
      <c r="F57" s="33" t="s">
        <v>87</v>
      </c>
      <c r="G57" s="70" t="s">
        <v>63</v>
      </c>
      <c r="H57" s="37" t="s">
        <v>18</v>
      </c>
    </row>
    <row r="58" spans="2:11" ht="29.45" customHeight="1">
      <c r="B58" s="125" t="s">
        <v>108</v>
      </c>
      <c r="C58" s="126"/>
      <c r="D58" s="127"/>
      <c r="E58" s="26" t="s">
        <v>100</v>
      </c>
      <c r="F58" s="26">
        <v>6.1000000000000004E-3</v>
      </c>
      <c r="G58" s="71">
        <v>760000</v>
      </c>
      <c r="H58" s="38">
        <f>G58*F58</f>
        <v>4636</v>
      </c>
    </row>
    <row r="59" spans="2:11">
      <c r="B59" s="125"/>
      <c r="C59" s="126"/>
      <c r="D59" s="127"/>
      <c r="E59" s="26"/>
      <c r="F59" s="26"/>
      <c r="G59" s="71"/>
      <c r="H59" s="38"/>
    </row>
    <row r="60" spans="2:11">
      <c r="B60" s="125"/>
      <c r="C60" s="126"/>
      <c r="D60" s="127"/>
      <c r="E60" s="26"/>
      <c r="F60" s="26"/>
      <c r="G60" s="71"/>
      <c r="H60" s="38">
        <f t="shared" ref="H60" si="6">F60*G60</f>
        <v>0</v>
      </c>
    </row>
    <row r="61" spans="2:11">
      <c r="B61" s="39"/>
      <c r="C61" s="40"/>
      <c r="D61" s="40"/>
      <c r="E61" s="28"/>
      <c r="F61" s="28"/>
      <c r="G61" s="70" t="s">
        <v>88</v>
      </c>
      <c r="H61" s="41">
        <f>SUM(H58:H60)</f>
        <v>4636</v>
      </c>
    </row>
    <row r="62" spans="2:11">
      <c r="B62" s="35"/>
      <c r="C62" s="28"/>
      <c r="D62" s="28"/>
      <c r="E62" s="28"/>
      <c r="F62" s="28"/>
      <c r="G62" s="72"/>
      <c r="H62" s="36"/>
    </row>
    <row r="63" spans="2:11">
      <c r="B63" s="131" t="s">
        <v>89</v>
      </c>
      <c r="C63" s="132"/>
      <c r="D63" s="132"/>
      <c r="E63" s="132"/>
      <c r="F63" s="132"/>
      <c r="G63" s="132"/>
      <c r="H63" s="133"/>
    </row>
    <row r="64" spans="2:11">
      <c r="B64" s="128" t="s">
        <v>1</v>
      </c>
      <c r="C64" s="129"/>
      <c r="D64" s="130"/>
      <c r="E64" s="33" t="s">
        <v>90</v>
      </c>
      <c r="F64" s="33" t="s">
        <v>87</v>
      </c>
      <c r="G64" s="70" t="s">
        <v>63</v>
      </c>
      <c r="H64" s="37" t="s">
        <v>18</v>
      </c>
    </row>
    <row r="65" spans="2:8">
      <c r="B65" s="125"/>
      <c r="C65" s="126"/>
      <c r="D65" s="127"/>
      <c r="E65" s="26"/>
      <c r="F65" s="42"/>
      <c r="G65" s="73"/>
      <c r="H65" s="38">
        <f>F65*G65</f>
        <v>0</v>
      </c>
    </row>
    <row r="66" spans="2:8">
      <c r="B66" s="125"/>
      <c r="C66" s="126"/>
      <c r="D66" s="127"/>
      <c r="E66" s="26"/>
      <c r="F66" s="42"/>
      <c r="G66" s="73"/>
      <c r="H66" s="38">
        <f t="shared" ref="H66:H69" si="7">F66*G66</f>
        <v>0</v>
      </c>
    </row>
    <row r="67" spans="2:8">
      <c r="B67" s="125"/>
      <c r="C67" s="126"/>
      <c r="D67" s="127"/>
      <c r="E67" s="26"/>
      <c r="F67" s="42"/>
      <c r="G67" s="73"/>
      <c r="H67" s="38">
        <f t="shared" si="7"/>
        <v>0</v>
      </c>
    </row>
    <row r="68" spans="2:8">
      <c r="B68" s="125"/>
      <c r="C68" s="126"/>
      <c r="D68" s="127"/>
      <c r="E68" s="26"/>
      <c r="F68" s="42"/>
      <c r="G68" s="73"/>
      <c r="H68" s="38">
        <f t="shared" si="7"/>
        <v>0</v>
      </c>
    </row>
    <row r="69" spans="2:8">
      <c r="B69" s="125"/>
      <c r="C69" s="126"/>
      <c r="D69" s="127"/>
      <c r="E69" s="26"/>
      <c r="F69" s="42"/>
      <c r="G69" s="73"/>
      <c r="H69" s="38">
        <f t="shared" si="7"/>
        <v>0</v>
      </c>
    </row>
    <row r="70" spans="2:8">
      <c r="B70" s="35"/>
      <c r="C70" s="28"/>
      <c r="D70" s="28"/>
      <c r="E70" s="28"/>
      <c r="F70" s="28"/>
      <c r="G70" s="70" t="s">
        <v>97</v>
      </c>
      <c r="H70" s="41">
        <f>SUM(H65:H69)</f>
        <v>0</v>
      </c>
    </row>
    <row r="71" spans="2:8">
      <c r="B71" s="35"/>
      <c r="C71" s="28"/>
      <c r="D71" s="28"/>
      <c r="E71" s="28"/>
      <c r="F71" s="28"/>
      <c r="G71" s="72"/>
      <c r="H71" s="36"/>
    </row>
    <row r="72" spans="2:8">
      <c r="B72" s="131" t="s">
        <v>98</v>
      </c>
      <c r="C72" s="132"/>
      <c r="D72" s="132"/>
      <c r="E72" s="132"/>
      <c r="F72" s="132"/>
      <c r="G72" s="132"/>
      <c r="H72" s="133"/>
    </row>
    <row r="73" spans="2:8">
      <c r="B73" s="128" t="s">
        <v>1</v>
      </c>
      <c r="C73" s="129"/>
      <c r="D73" s="130"/>
      <c r="E73" s="33" t="s">
        <v>90</v>
      </c>
      <c r="F73" s="33" t="s">
        <v>87</v>
      </c>
      <c r="G73" s="70" t="s">
        <v>63</v>
      </c>
      <c r="H73" s="37" t="s">
        <v>18</v>
      </c>
    </row>
    <row r="74" spans="2:8">
      <c r="B74" s="125" t="s">
        <v>99</v>
      </c>
      <c r="C74" s="126"/>
      <c r="D74" s="127"/>
      <c r="E74" s="26" t="s">
        <v>100</v>
      </c>
      <c r="F74" s="26">
        <v>6.1000000000000004E-3</v>
      </c>
      <c r="G74" s="71">
        <v>77563</v>
      </c>
      <c r="H74" s="38">
        <f>G74*F74</f>
        <v>473.13430000000005</v>
      </c>
    </row>
    <row r="75" spans="2:8">
      <c r="B75" s="125"/>
      <c r="C75" s="126"/>
      <c r="D75" s="127"/>
      <c r="E75" s="26"/>
      <c r="F75" s="26"/>
      <c r="G75" s="71"/>
      <c r="H75" s="38">
        <f t="shared" ref="H75" si="8">F75*G75</f>
        <v>0</v>
      </c>
    </row>
    <row r="76" spans="2:8">
      <c r="B76" s="125"/>
      <c r="C76" s="126"/>
      <c r="D76" s="127"/>
      <c r="E76" s="26"/>
      <c r="F76" s="26"/>
      <c r="G76" s="71"/>
      <c r="H76" s="38"/>
    </row>
    <row r="77" spans="2:8">
      <c r="B77" s="125"/>
      <c r="C77" s="126"/>
      <c r="D77" s="127"/>
      <c r="E77" s="26"/>
      <c r="F77" s="26"/>
      <c r="G77" s="71"/>
      <c r="H77" s="38">
        <f t="shared" ref="H77" si="9">F77*G77</f>
        <v>0</v>
      </c>
    </row>
    <row r="78" spans="2:8">
      <c r="B78" s="35"/>
      <c r="C78" s="28"/>
      <c r="D78" s="28"/>
      <c r="E78" s="28"/>
      <c r="F78" s="28"/>
      <c r="G78" s="70" t="s">
        <v>101</v>
      </c>
      <c r="H78" s="41">
        <f>SUM(H74:H77)</f>
        <v>473.13430000000005</v>
      </c>
    </row>
    <row r="79" spans="2:8">
      <c r="B79" s="35"/>
      <c r="C79" s="28"/>
      <c r="D79" s="28"/>
      <c r="E79" s="28"/>
      <c r="F79" s="28"/>
      <c r="G79" s="72"/>
      <c r="H79" s="36"/>
    </row>
    <row r="80" spans="2:8">
      <c r="B80" s="131" t="s">
        <v>102</v>
      </c>
      <c r="C80" s="132"/>
      <c r="D80" s="132"/>
      <c r="E80" s="132"/>
      <c r="F80" s="132"/>
      <c r="G80" s="132"/>
      <c r="H80" s="133"/>
    </row>
    <row r="81" spans="2:8">
      <c r="B81" s="128" t="s">
        <v>1</v>
      </c>
      <c r="C81" s="129"/>
      <c r="D81" s="130"/>
      <c r="E81" s="33" t="s">
        <v>90</v>
      </c>
      <c r="F81" s="33" t="s">
        <v>87</v>
      </c>
      <c r="G81" s="70" t="s">
        <v>63</v>
      </c>
      <c r="H81" s="37" t="s">
        <v>18</v>
      </c>
    </row>
    <row r="82" spans="2:8">
      <c r="B82" s="125" t="s">
        <v>109</v>
      </c>
      <c r="C82" s="126"/>
      <c r="D82" s="127"/>
      <c r="E82" s="26" t="s">
        <v>100</v>
      </c>
      <c r="F82" s="26">
        <v>6.1000000000000004E-3</v>
      </c>
      <c r="G82" s="71">
        <v>120000</v>
      </c>
      <c r="H82" s="38">
        <f>G82*F82</f>
        <v>732</v>
      </c>
    </row>
    <row r="83" spans="2:8">
      <c r="B83" s="125"/>
      <c r="C83" s="126"/>
      <c r="D83" s="127"/>
      <c r="E83" s="26"/>
      <c r="F83" s="26"/>
      <c r="G83" s="71"/>
      <c r="H83" s="38">
        <f t="shared" ref="H83:H84" si="10">F83*G83</f>
        <v>0</v>
      </c>
    </row>
    <row r="84" spans="2:8">
      <c r="B84" s="125"/>
      <c r="C84" s="126"/>
      <c r="D84" s="127"/>
      <c r="E84" s="26"/>
      <c r="F84" s="26"/>
      <c r="G84" s="71"/>
      <c r="H84" s="38">
        <f t="shared" si="10"/>
        <v>0</v>
      </c>
    </row>
    <row r="85" spans="2:8">
      <c r="B85" s="35"/>
      <c r="C85" s="28"/>
      <c r="D85" s="28"/>
      <c r="E85" s="28"/>
      <c r="F85" s="28"/>
      <c r="G85" s="70" t="s">
        <v>103</v>
      </c>
      <c r="H85" s="41">
        <f>SUM(H82:H84)</f>
        <v>732</v>
      </c>
    </row>
    <row r="86" spans="2:8">
      <c r="B86" s="35"/>
      <c r="C86" s="28"/>
      <c r="D86" s="28"/>
      <c r="E86" s="28"/>
      <c r="F86" s="28"/>
      <c r="G86" s="72"/>
      <c r="H86" s="36"/>
    </row>
    <row r="87" spans="2:8">
      <c r="B87" s="131" t="s">
        <v>104</v>
      </c>
      <c r="C87" s="132"/>
      <c r="D87" s="132"/>
      <c r="E87" s="132"/>
      <c r="F87" s="132"/>
      <c r="G87" s="132"/>
      <c r="H87" s="133"/>
    </row>
    <row r="88" spans="2:8">
      <c r="B88" s="128" t="s">
        <v>1</v>
      </c>
      <c r="C88" s="129"/>
      <c r="D88" s="130"/>
      <c r="E88" s="33" t="s">
        <v>90</v>
      </c>
      <c r="F88" s="33" t="s">
        <v>87</v>
      </c>
      <c r="G88" s="70" t="s">
        <v>63</v>
      </c>
      <c r="H88" s="37" t="s">
        <v>18</v>
      </c>
    </row>
    <row r="89" spans="2:8">
      <c r="B89" s="125"/>
      <c r="C89" s="126"/>
      <c r="D89" s="127"/>
      <c r="E89" s="26"/>
      <c r="F89" s="43"/>
      <c r="G89" s="71"/>
      <c r="H89" s="38">
        <f t="shared" ref="H89:H92" si="11">F89*G89</f>
        <v>0</v>
      </c>
    </row>
    <row r="90" spans="2:8">
      <c r="B90" s="125"/>
      <c r="C90" s="126"/>
      <c r="D90" s="127"/>
      <c r="E90" s="26"/>
      <c r="F90" s="26"/>
      <c r="G90" s="71"/>
      <c r="H90" s="38">
        <f t="shared" si="11"/>
        <v>0</v>
      </c>
    </row>
    <row r="91" spans="2:8">
      <c r="B91" s="125"/>
      <c r="C91" s="126"/>
      <c r="D91" s="127"/>
      <c r="E91" s="26"/>
      <c r="F91" s="26"/>
      <c r="G91" s="71"/>
      <c r="H91" s="38">
        <f t="shared" si="11"/>
        <v>0</v>
      </c>
    </row>
    <row r="92" spans="2:8">
      <c r="B92" s="125"/>
      <c r="C92" s="126"/>
      <c r="D92" s="127"/>
      <c r="E92" s="26"/>
      <c r="F92" s="26"/>
      <c r="G92" s="71"/>
      <c r="H92" s="38">
        <f t="shared" si="11"/>
        <v>0</v>
      </c>
    </row>
    <row r="93" spans="2:8">
      <c r="B93" s="35"/>
      <c r="C93" s="28"/>
      <c r="D93" s="28"/>
      <c r="E93" s="28"/>
      <c r="F93" s="28"/>
      <c r="G93" s="70" t="s">
        <v>103</v>
      </c>
      <c r="H93" s="41">
        <f>SUM(H89:H92)</f>
        <v>0</v>
      </c>
    </row>
    <row r="94" spans="2:8">
      <c r="B94" s="35"/>
      <c r="C94" s="28"/>
      <c r="D94" s="28"/>
      <c r="E94" s="28"/>
      <c r="F94" s="28"/>
      <c r="G94" s="72"/>
      <c r="H94" s="36"/>
    </row>
    <row r="95" spans="2:8">
      <c r="B95" s="35"/>
      <c r="C95" s="28"/>
      <c r="D95" s="28"/>
      <c r="E95" s="28"/>
      <c r="F95" s="28"/>
      <c r="G95" s="72"/>
      <c r="H95" s="36"/>
    </row>
    <row r="96" spans="2:8">
      <c r="B96" s="35"/>
      <c r="C96" s="28"/>
      <c r="D96" s="28"/>
      <c r="E96" s="28"/>
      <c r="F96" s="28"/>
      <c r="G96" s="74" t="s">
        <v>49</v>
      </c>
      <c r="H96" s="44">
        <f>H85+H78+H70+H61</f>
        <v>5841.1342999999997</v>
      </c>
    </row>
    <row r="97" spans="2:8" ht="15" thickBot="1">
      <c r="B97" s="45"/>
      <c r="C97" s="46"/>
      <c r="D97" s="46"/>
      <c r="E97" s="46"/>
      <c r="F97" s="46"/>
      <c r="G97" s="76"/>
      <c r="H97" s="47"/>
    </row>
    <row r="98" spans="2:8" s="60" customFormat="1">
      <c r="G98" s="77"/>
    </row>
    <row r="99" spans="2:8" s="60" customFormat="1" ht="15" thickBot="1">
      <c r="G99" s="77"/>
    </row>
    <row r="100" spans="2:8">
      <c r="B100" s="141" t="s">
        <v>81</v>
      </c>
      <c r="C100" s="142"/>
      <c r="D100" s="143" t="s">
        <v>19</v>
      </c>
      <c r="E100" s="144"/>
      <c r="F100" s="144"/>
      <c r="G100" s="144"/>
      <c r="H100" s="145"/>
    </row>
    <row r="101" spans="2:8">
      <c r="B101" s="146" t="s">
        <v>24</v>
      </c>
      <c r="C101" s="147"/>
      <c r="D101" s="147"/>
      <c r="E101" s="147"/>
      <c r="F101" s="147"/>
      <c r="G101" s="147"/>
      <c r="H101" s="148"/>
    </row>
    <row r="102" spans="2:8">
      <c r="B102" s="32" t="s">
        <v>83</v>
      </c>
      <c r="C102" s="26"/>
      <c r="D102" s="28"/>
      <c r="E102" s="28"/>
      <c r="F102" s="28"/>
      <c r="G102" s="70" t="s">
        <v>84</v>
      </c>
      <c r="H102" s="34" t="s">
        <v>23</v>
      </c>
    </row>
    <row r="103" spans="2:8">
      <c r="B103" s="35"/>
      <c r="C103" s="28"/>
      <c r="D103" s="28"/>
      <c r="E103" s="28"/>
      <c r="F103" s="28"/>
      <c r="G103" s="70" t="s">
        <v>85</v>
      </c>
      <c r="H103" s="48">
        <v>1140</v>
      </c>
    </row>
    <row r="104" spans="2:8">
      <c r="B104" s="131" t="s">
        <v>86</v>
      </c>
      <c r="C104" s="132"/>
      <c r="D104" s="132"/>
      <c r="E104" s="132"/>
      <c r="F104" s="132"/>
      <c r="G104" s="132"/>
      <c r="H104" s="133"/>
    </row>
    <row r="105" spans="2:8">
      <c r="B105" s="128" t="s">
        <v>1</v>
      </c>
      <c r="C105" s="129"/>
      <c r="D105" s="130"/>
      <c r="E105" s="33" t="s">
        <v>84</v>
      </c>
      <c r="F105" s="33" t="s">
        <v>87</v>
      </c>
      <c r="G105" s="70" t="s">
        <v>63</v>
      </c>
      <c r="H105" s="37" t="s">
        <v>18</v>
      </c>
    </row>
    <row r="106" spans="2:8" ht="24.6" customHeight="1">
      <c r="B106" s="125" t="s">
        <v>110</v>
      </c>
      <c r="C106" s="126"/>
      <c r="D106" s="127"/>
      <c r="E106" s="26" t="s">
        <v>100</v>
      </c>
      <c r="F106" s="26">
        <v>6.1000000000000004E-3</v>
      </c>
      <c r="G106" s="71">
        <v>165000</v>
      </c>
      <c r="H106" s="38">
        <f>G106*F106</f>
        <v>1006.5000000000001</v>
      </c>
    </row>
    <row r="107" spans="2:8">
      <c r="B107" s="125"/>
      <c r="C107" s="126"/>
      <c r="D107" s="127"/>
      <c r="E107" s="26"/>
      <c r="F107" s="26"/>
      <c r="G107" s="71"/>
      <c r="H107" s="38"/>
    </row>
    <row r="108" spans="2:8">
      <c r="B108" s="125"/>
      <c r="C108" s="126"/>
      <c r="D108" s="127"/>
      <c r="E108" s="26"/>
      <c r="F108" s="26"/>
      <c r="G108" s="71"/>
      <c r="H108" s="38">
        <f t="shared" ref="H108" si="12">F108*G108</f>
        <v>0</v>
      </c>
    </row>
    <row r="109" spans="2:8">
      <c r="B109" s="39"/>
      <c r="C109" s="40"/>
      <c r="D109" s="40"/>
      <c r="E109" s="28"/>
      <c r="F109" s="28"/>
      <c r="G109" s="70" t="s">
        <v>88</v>
      </c>
      <c r="H109" s="41">
        <f>SUM(H106:H108)</f>
        <v>1006.5000000000001</v>
      </c>
    </row>
    <row r="110" spans="2:8">
      <c r="B110" s="35"/>
      <c r="C110" s="28"/>
      <c r="D110" s="28"/>
      <c r="E110" s="28"/>
      <c r="F110" s="28"/>
      <c r="G110" s="72"/>
      <c r="H110" s="36"/>
    </row>
    <row r="111" spans="2:8">
      <c r="B111" s="131" t="s">
        <v>89</v>
      </c>
      <c r="C111" s="132"/>
      <c r="D111" s="132"/>
      <c r="E111" s="132"/>
      <c r="F111" s="132"/>
      <c r="G111" s="132"/>
      <c r="H111" s="133"/>
    </row>
    <row r="112" spans="2:8">
      <c r="B112" s="128" t="s">
        <v>1</v>
      </c>
      <c r="C112" s="129"/>
      <c r="D112" s="130"/>
      <c r="E112" s="33" t="s">
        <v>90</v>
      </c>
      <c r="F112" s="84" t="s">
        <v>87</v>
      </c>
      <c r="G112" s="70" t="s">
        <v>63</v>
      </c>
      <c r="H112" s="37" t="s">
        <v>18</v>
      </c>
    </row>
    <row r="113" spans="2:8">
      <c r="B113" s="125" t="s">
        <v>111</v>
      </c>
      <c r="C113" s="126"/>
      <c r="D113" s="127"/>
      <c r="E113" s="83" t="s">
        <v>21</v>
      </c>
      <c r="F113" s="68">
        <v>0.4</v>
      </c>
      <c r="G113" s="71">
        <v>1208</v>
      </c>
      <c r="H113" s="86">
        <f>F113*G113</f>
        <v>483.20000000000005</v>
      </c>
    </row>
    <row r="114" spans="2:8">
      <c r="B114" s="125" t="s">
        <v>112</v>
      </c>
      <c r="C114" s="126"/>
      <c r="D114" s="127"/>
      <c r="E114" s="83" t="s">
        <v>93</v>
      </c>
      <c r="F114" s="68">
        <v>0.1</v>
      </c>
      <c r="G114" s="71">
        <v>3781</v>
      </c>
      <c r="H114" s="86">
        <f t="shared" ref="H114:H117" si="13">F114*G114</f>
        <v>378.1</v>
      </c>
    </row>
    <row r="115" spans="2:8" ht="22.15" customHeight="1">
      <c r="B115" s="125" t="s">
        <v>113</v>
      </c>
      <c r="C115" s="126"/>
      <c r="D115" s="127"/>
      <c r="E115" s="83" t="s">
        <v>21</v>
      </c>
      <c r="F115" s="68">
        <v>0.1</v>
      </c>
      <c r="G115" s="71">
        <v>1944</v>
      </c>
      <c r="H115" s="86">
        <f t="shared" si="13"/>
        <v>194.4</v>
      </c>
    </row>
    <row r="116" spans="2:8">
      <c r="B116" s="125"/>
      <c r="C116" s="126"/>
      <c r="D116" s="127"/>
      <c r="E116" s="26"/>
      <c r="F116" s="85"/>
      <c r="G116" s="71"/>
      <c r="H116" s="38">
        <f t="shared" si="13"/>
        <v>0</v>
      </c>
    </row>
    <row r="117" spans="2:8">
      <c r="B117" s="125"/>
      <c r="C117" s="126"/>
      <c r="D117" s="127"/>
      <c r="E117" s="26"/>
      <c r="F117" s="42"/>
      <c r="G117" s="73"/>
      <c r="H117" s="38">
        <f t="shared" si="13"/>
        <v>0</v>
      </c>
    </row>
    <row r="118" spans="2:8">
      <c r="B118" s="35"/>
      <c r="C118" s="28"/>
      <c r="D118" s="28"/>
      <c r="E118" s="28"/>
      <c r="F118" s="28"/>
      <c r="G118" s="70" t="s">
        <v>97</v>
      </c>
      <c r="H118" s="41">
        <f>SUM(H113:H117)</f>
        <v>1055.7</v>
      </c>
    </row>
    <row r="119" spans="2:8">
      <c r="B119" s="35"/>
      <c r="C119" s="28"/>
      <c r="D119" s="28"/>
      <c r="E119" s="28"/>
      <c r="F119" s="28"/>
      <c r="G119" s="72"/>
      <c r="H119" s="36"/>
    </row>
    <row r="120" spans="2:8">
      <c r="B120" s="131" t="s">
        <v>98</v>
      </c>
      <c r="C120" s="132"/>
      <c r="D120" s="132"/>
      <c r="E120" s="132"/>
      <c r="F120" s="132"/>
      <c r="G120" s="132"/>
      <c r="H120" s="133"/>
    </row>
    <row r="121" spans="2:8">
      <c r="B121" s="128" t="s">
        <v>1</v>
      </c>
      <c r="C121" s="129"/>
      <c r="D121" s="130"/>
      <c r="E121" s="33" t="s">
        <v>90</v>
      </c>
      <c r="F121" s="33" t="s">
        <v>87</v>
      </c>
      <c r="G121" s="70" t="s">
        <v>63</v>
      </c>
      <c r="H121" s="37" t="s">
        <v>18</v>
      </c>
    </row>
    <row r="122" spans="2:8">
      <c r="B122" s="125" t="s">
        <v>114</v>
      </c>
      <c r="C122" s="126"/>
      <c r="D122" s="127"/>
      <c r="E122" s="26" t="s">
        <v>100</v>
      </c>
      <c r="F122" s="26">
        <v>6.1000000000000004E-3</v>
      </c>
      <c r="G122" s="71">
        <v>180982</v>
      </c>
      <c r="H122" s="38">
        <f>G122*F122</f>
        <v>1103.9902</v>
      </c>
    </row>
    <row r="123" spans="2:8">
      <c r="B123" s="125"/>
      <c r="C123" s="126"/>
      <c r="D123" s="127"/>
      <c r="E123" s="26"/>
      <c r="F123" s="26"/>
      <c r="G123" s="71"/>
      <c r="H123" s="38">
        <f t="shared" ref="H123:H124" si="14">F123*G123</f>
        <v>0</v>
      </c>
    </row>
    <row r="124" spans="2:8">
      <c r="B124" s="125"/>
      <c r="C124" s="126"/>
      <c r="D124" s="127"/>
      <c r="E124" s="26"/>
      <c r="F124" s="26"/>
      <c r="G124" s="71"/>
      <c r="H124" s="38">
        <f t="shared" si="14"/>
        <v>0</v>
      </c>
    </row>
    <row r="125" spans="2:8">
      <c r="B125" s="125"/>
      <c r="C125" s="126"/>
      <c r="D125" s="127"/>
      <c r="E125" s="26"/>
      <c r="F125" s="26"/>
      <c r="G125" s="71"/>
      <c r="H125" s="38">
        <f t="shared" ref="H125" si="15">F125*G125</f>
        <v>0</v>
      </c>
    </row>
    <row r="126" spans="2:8">
      <c r="B126" s="35"/>
      <c r="C126" s="28"/>
      <c r="D126" s="28"/>
      <c r="E126" s="28"/>
      <c r="F126" s="28"/>
      <c r="G126" s="70" t="s">
        <v>101</v>
      </c>
      <c r="H126" s="41">
        <f>SUM(H122:H125)</f>
        <v>1103.9902</v>
      </c>
    </row>
    <row r="127" spans="2:8">
      <c r="B127" s="35"/>
      <c r="C127" s="28"/>
      <c r="D127" s="28"/>
      <c r="E127" s="28"/>
      <c r="F127" s="28"/>
      <c r="G127" s="72"/>
      <c r="H127" s="36"/>
    </row>
    <row r="128" spans="2:8">
      <c r="B128" s="131" t="s">
        <v>102</v>
      </c>
      <c r="C128" s="132"/>
      <c r="D128" s="132"/>
      <c r="E128" s="132"/>
      <c r="F128" s="132"/>
      <c r="G128" s="132"/>
      <c r="H128" s="133"/>
    </row>
    <row r="129" spans="2:8">
      <c r="B129" s="128" t="s">
        <v>1</v>
      </c>
      <c r="C129" s="129"/>
      <c r="D129" s="130"/>
      <c r="E129" s="33" t="s">
        <v>90</v>
      </c>
      <c r="F129" s="33" t="s">
        <v>87</v>
      </c>
      <c r="G129" s="70" t="s">
        <v>63</v>
      </c>
      <c r="H129" s="37" t="s">
        <v>18</v>
      </c>
    </row>
    <row r="130" spans="2:8">
      <c r="B130" s="125"/>
      <c r="C130" s="126"/>
      <c r="D130" s="127"/>
      <c r="E130" s="26"/>
      <c r="F130" s="26"/>
      <c r="G130" s="71"/>
      <c r="H130" s="38">
        <f>G130*F130</f>
        <v>0</v>
      </c>
    </row>
    <row r="131" spans="2:8">
      <c r="B131" s="125"/>
      <c r="C131" s="126"/>
      <c r="D131" s="127"/>
      <c r="E131" s="26"/>
      <c r="F131" s="26"/>
      <c r="G131" s="71"/>
      <c r="H131" s="38">
        <f t="shared" ref="H131:H132" si="16">G131*F131</f>
        <v>0</v>
      </c>
    </row>
    <row r="132" spans="2:8">
      <c r="B132" s="125"/>
      <c r="C132" s="126"/>
      <c r="D132" s="127"/>
      <c r="E132" s="26"/>
      <c r="F132" s="26"/>
      <c r="G132" s="71"/>
      <c r="H132" s="38">
        <f t="shared" si="16"/>
        <v>0</v>
      </c>
    </row>
    <row r="133" spans="2:8">
      <c r="B133" s="35"/>
      <c r="C133" s="28"/>
      <c r="D133" s="28"/>
      <c r="E133" s="28"/>
      <c r="F133" s="28"/>
      <c r="G133" s="70" t="s">
        <v>103</v>
      </c>
      <c r="H133" s="41">
        <f>SUM(H130:H132)</f>
        <v>0</v>
      </c>
    </row>
    <row r="134" spans="2:8">
      <c r="B134" s="35"/>
      <c r="C134" s="28"/>
      <c r="D134" s="28"/>
      <c r="E134" s="28"/>
      <c r="F134" s="28"/>
      <c r="G134" s="72"/>
      <c r="H134" s="36"/>
    </row>
    <row r="135" spans="2:8">
      <c r="B135" s="131" t="s">
        <v>104</v>
      </c>
      <c r="C135" s="132"/>
      <c r="D135" s="132"/>
      <c r="E135" s="132"/>
      <c r="F135" s="132"/>
      <c r="G135" s="132"/>
      <c r="H135" s="133"/>
    </row>
    <row r="136" spans="2:8">
      <c r="B136" s="128" t="s">
        <v>1</v>
      </c>
      <c r="C136" s="129"/>
      <c r="D136" s="130"/>
      <c r="E136" s="33" t="s">
        <v>90</v>
      </c>
      <c r="F136" s="33" t="s">
        <v>87</v>
      </c>
      <c r="G136" s="70" t="s">
        <v>63</v>
      </c>
      <c r="H136" s="37" t="s">
        <v>18</v>
      </c>
    </row>
    <row r="137" spans="2:8">
      <c r="B137" s="125"/>
      <c r="C137" s="126"/>
      <c r="D137" s="127"/>
      <c r="E137" s="26"/>
      <c r="F137" s="43"/>
      <c r="G137" s="71"/>
      <c r="H137" s="38">
        <f t="shared" ref="H137:H140" si="17">F137*G137</f>
        <v>0</v>
      </c>
    </row>
    <row r="138" spans="2:8">
      <c r="B138" s="125"/>
      <c r="C138" s="126"/>
      <c r="D138" s="127"/>
      <c r="E138" s="26"/>
      <c r="F138" s="26"/>
      <c r="G138" s="71"/>
      <c r="H138" s="38">
        <f t="shared" si="17"/>
        <v>0</v>
      </c>
    </row>
    <row r="139" spans="2:8">
      <c r="B139" s="125"/>
      <c r="C139" s="126"/>
      <c r="D139" s="127"/>
      <c r="E139" s="26"/>
      <c r="F139" s="26"/>
      <c r="G139" s="71"/>
      <c r="H139" s="38">
        <f t="shared" si="17"/>
        <v>0</v>
      </c>
    </row>
    <row r="140" spans="2:8">
      <c r="B140" s="125"/>
      <c r="C140" s="126"/>
      <c r="D140" s="127"/>
      <c r="E140" s="26"/>
      <c r="F140" s="26"/>
      <c r="G140" s="71"/>
      <c r="H140" s="38">
        <f t="shared" si="17"/>
        <v>0</v>
      </c>
    </row>
    <row r="141" spans="2:8">
      <c r="B141" s="35"/>
      <c r="C141" s="28"/>
      <c r="D141" s="28"/>
      <c r="E141" s="28"/>
      <c r="F141" s="28"/>
      <c r="G141" s="70" t="s">
        <v>103</v>
      </c>
      <c r="H141" s="41">
        <f>SUM(H137:H140)</f>
        <v>0</v>
      </c>
    </row>
    <row r="142" spans="2:8">
      <c r="B142" s="35"/>
      <c r="C142" s="28"/>
      <c r="D142" s="28"/>
      <c r="E142" s="28"/>
      <c r="F142" s="28"/>
      <c r="G142" s="72"/>
      <c r="H142" s="36"/>
    </row>
    <row r="143" spans="2:8">
      <c r="B143" s="35"/>
      <c r="C143" s="28"/>
      <c r="D143" s="28"/>
      <c r="E143" s="28"/>
      <c r="F143" s="28"/>
      <c r="G143" s="72"/>
      <c r="H143" s="36"/>
    </row>
    <row r="144" spans="2:8">
      <c r="B144" s="35"/>
      <c r="C144" s="28"/>
      <c r="D144" s="28"/>
      <c r="E144" s="28"/>
      <c r="F144" s="28"/>
      <c r="G144" s="74" t="s">
        <v>49</v>
      </c>
      <c r="H144" s="44">
        <f>H109+H118+H126+H133+H141</f>
        <v>3166.1902</v>
      </c>
    </row>
    <row r="145" spans="2:8" ht="15" thickBot="1">
      <c r="B145" s="45"/>
      <c r="C145" s="46"/>
      <c r="D145" s="46"/>
      <c r="E145" s="46"/>
      <c r="F145" s="46"/>
      <c r="G145" s="76"/>
      <c r="H145" s="47"/>
    </row>
    <row r="146" spans="2:8" s="60" customFormat="1">
      <c r="G146" s="77"/>
    </row>
    <row r="147" spans="2:8" s="60" customFormat="1" ht="15" thickBot="1">
      <c r="G147" s="77"/>
    </row>
    <row r="148" spans="2:8">
      <c r="B148" s="141" t="s">
        <v>81</v>
      </c>
      <c r="C148" s="142"/>
      <c r="D148" s="143" t="s">
        <v>19</v>
      </c>
      <c r="E148" s="144"/>
      <c r="F148" s="144"/>
      <c r="G148" s="144"/>
      <c r="H148" s="145"/>
    </row>
    <row r="149" spans="2:8">
      <c r="B149" s="146" t="s">
        <v>115</v>
      </c>
      <c r="C149" s="147"/>
      <c r="D149" s="147"/>
      <c r="E149" s="147"/>
      <c r="F149" s="147"/>
      <c r="G149" s="147"/>
      <c r="H149" s="148"/>
    </row>
    <row r="150" spans="2:8">
      <c r="B150" s="32" t="s">
        <v>83</v>
      </c>
      <c r="C150" s="26"/>
      <c r="D150" s="28"/>
      <c r="E150" s="28"/>
      <c r="F150" s="28"/>
      <c r="G150" s="70" t="s">
        <v>84</v>
      </c>
      <c r="H150" s="34" t="s">
        <v>23</v>
      </c>
    </row>
    <row r="151" spans="2:8">
      <c r="B151" s="35"/>
      <c r="C151" s="28"/>
      <c r="D151" s="28"/>
      <c r="E151" s="28"/>
      <c r="F151" s="28"/>
      <c r="G151" s="70" t="s">
        <v>85</v>
      </c>
      <c r="H151" s="48">
        <v>643.59</v>
      </c>
    </row>
    <row r="152" spans="2:8">
      <c r="B152" s="131" t="s">
        <v>86</v>
      </c>
      <c r="C152" s="132"/>
      <c r="D152" s="132"/>
      <c r="E152" s="132"/>
      <c r="F152" s="132"/>
      <c r="G152" s="132"/>
      <c r="H152" s="133"/>
    </row>
    <row r="153" spans="2:8" ht="14.45" customHeight="1">
      <c r="B153" s="128" t="s">
        <v>1</v>
      </c>
      <c r="C153" s="129"/>
      <c r="D153" s="130"/>
      <c r="E153" s="33" t="s">
        <v>84</v>
      </c>
      <c r="F153" s="33" t="s">
        <v>87</v>
      </c>
      <c r="G153" s="70" t="s">
        <v>63</v>
      </c>
      <c r="H153" s="37" t="s">
        <v>18</v>
      </c>
    </row>
    <row r="154" spans="2:8" ht="24.6" customHeight="1">
      <c r="B154" s="125" t="s">
        <v>116</v>
      </c>
      <c r="C154" s="126"/>
      <c r="D154" s="127"/>
      <c r="E154" s="26" t="s">
        <v>100</v>
      </c>
      <c r="F154" s="26">
        <v>1.0999999999999999E-2</v>
      </c>
      <c r="G154" s="71">
        <v>165000</v>
      </c>
      <c r="H154" s="38">
        <f>G154*F154</f>
        <v>1815</v>
      </c>
    </row>
    <row r="155" spans="2:8">
      <c r="B155" s="125"/>
      <c r="C155" s="126"/>
      <c r="D155" s="127"/>
      <c r="E155" s="26"/>
      <c r="F155" s="26"/>
      <c r="G155" s="71"/>
      <c r="H155" s="38"/>
    </row>
    <row r="156" spans="2:8">
      <c r="B156" s="125"/>
      <c r="C156" s="126"/>
      <c r="D156" s="127"/>
      <c r="E156" s="26"/>
      <c r="F156" s="26"/>
      <c r="G156" s="71"/>
      <c r="H156" s="38"/>
    </row>
    <row r="157" spans="2:8">
      <c r="B157" s="39"/>
      <c r="C157" s="40"/>
      <c r="D157" s="40"/>
      <c r="E157" s="28"/>
      <c r="F157" s="28"/>
      <c r="G157" s="70" t="s">
        <v>88</v>
      </c>
      <c r="H157" s="41">
        <f>SUM(H154:H156)</f>
        <v>1815</v>
      </c>
    </row>
    <row r="158" spans="2:8">
      <c r="B158" s="35"/>
      <c r="C158" s="28"/>
      <c r="D158" s="28"/>
      <c r="E158" s="28"/>
      <c r="F158" s="28"/>
      <c r="G158" s="72"/>
      <c r="H158" s="36"/>
    </row>
    <row r="159" spans="2:8">
      <c r="B159" s="131" t="s">
        <v>89</v>
      </c>
      <c r="C159" s="132"/>
      <c r="D159" s="132"/>
      <c r="E159" s="132"/>
      <c r="F159" s="132"/>
      <c r="G159" s="132"/>
      <c r="H159" s="133"/>
    </row>
    <row r="160" spans="2:8">
      <c r="B160" s="128" t="s">
        <v>1</v>
      </c>
      <c r="C160" s="129"/>
      <c r="D160" s="130"/>
      <c r="E160" s="33" t="s">
        <v>90</v>
      </c>
      <c r="F160" s="33" t="s">
        <v>87</v>
      </c>
      <c r="G160" s="70" t="s">
        <v>63</v>
      </c>
      <c r="H160" s="37" t="s">
        <v>18</v>
      </c>
    </row>
    <row r="161" spans="2:8">
      <c r="B161" s="125" t="s">
        <v>111</v>
      </c>
      <c r="C161" s="126"/>
      <c r="D161" s="127"/>
      <c r="E161" s="26" t="s">
        <v>21</v>
      </c>
      <c r="F161" s="42">
        <v>0.4</v>
      </c>
      <c r="G161" s="73">
        <v>1208</v>
      </c>
      <c r="H161" s="38">
        <f>F161*G161</f>
        <v>483.20000000000005</v>
      </c>
    </row>
    <row r="162" spans="2:8">
      <c r="B162" s="125" t="s">
        <v>92</v>
      </c>
      <c r="C162" s="126"/>
      <c r="D162" s="127"/>
      <c r="E162" s="26" t="s">
        <v>93</v>
      </c>
      <c r="F162" s="42">
        <v>0.1</v>
      </c>
      <c r="G162" s="73">
        <v>3781</v>
      </c>
      <c r="H162" s="38">
        <f t="shared" ref="H162:H165" si="18">F162*G162</f>
        <v>378.1</v>
      </c>
    </row>
    <row r="163" spans="2:8" ht="29.45" customHeight="1">
      <c r="B163" s="125" t="s">
        <v>117</v>
      </c>
      <c r="C163" s="126"/>
      <c r="D163" s="127"/>
      <c r="E163" s="26" t="s">
        <v>21</v>
      </c>
      <c r="F163" s="42">
        <v>0.1</v>
      </c>
      <c r="G163" s="73">
        <v>1944</v>
      </c>
      <c r="H163" s="38">
        <f t="shared" si="18"/>
        <v>194.4</v>
      </c>
    </row>
    <row r="164" spans="2:8">
      <c r="B164" s="125"/>
      <c r="C164" s="126"/>
      <c r="D164" s="127"/>
      <c r="E164" s="26"/>
      <c r="F164" s="42"/>
      <c r="G164" s="73"/>
      <c r="H164" s="38">
        <f t="shared" si="18"/>
        <v>0</v>
      </c>
    </row>
    <row r="165" spans="2:8">
      <c r="B165" s="125"/>
      <c r="C165" s="126"/>
      <c r="D165" s="127"/>
      <c r="E165" s="26"/>
      <c r="F165" s="42"/>
      <c r="G165" s="73"/>
      <c r="H165" s="38">
        <f t="shared" si="18"/>
        <v>0</v>
      </c>
    </row>
    <row r="166" spans="2:8">
      <c r="B166" s="35"/>
      <c r="C166" s="28"/>
      <c r="D166" s="28"/>
      <c r="E166" s="28"/>
      <c r="F166" s="28"/>
      <c r="G166" s="70" t="s">
        <v>97</v>
      </c>
      <c r="H166" s="41">
        <f>SUM(H161:H165)</f>
        <v>1055.7</v>
      </c>
    </row>
    <row r="167" spans="2:8">
      <c r="B167" s="35"/>
      <c r="C167" s="28"/>
      <c r="D167" s="28"/>
      <c r="E167" s="28"/>
      <c r="F167" s="28"/>
      <c r="G167" s="72"/>
      <c r="H167" s="36"/>
    </row>
    <row r="168" spans="2:8">
      <c r="B168" s="131" t="s">
        <v>98</v>
      </c>
      <c r="C168" s="132"/>
      <c r="D168" s="132"/>
      <c r="E168" s="132"/>
      <c r="F168" s="132"/>
      <c r="G168" s="132"/>
      <c r="H168" s="133"/>
    </row>
    <row r="169" spans="2:8">
      <c r="B169" s="128" t="s">
        <v>1</v>
      </c>
      <c r="C169" s="129"/>
      <c r="D169" s="130"/>
      <c r="E169" s="33" t="s">
        <v>90</v>
      </c>
      <c r="F169" s="33" t="s">
        <v>87</v>
      </c>
      <c r="G169" s="70" t="s">
        <v>63</v>
      </c>
      <c r="H169" s="37" t="s">
        <v>18</v>
      </c>
    </row>
    <row r="170" spans="2:8">
      <c r="B170" s="125" t="s">
        <v>114</v>
      </c>
      <c r="C170" s="126"/>
      <c r="D170" s="127"/>
      <c r="E170" s="26" t="s">
        <v>100</v>
      </c>
      <c r="F170" s="26">
        <v>1.0999999999999999E-2</v>
      </c>
      <c r="G170" s="71">
        <v>180981</v>
      </c>
      <c r="H170" s="38">
        <f>G170*F170</f>
        <v>1990.7909999999999</v>
      </c>
    </row>
    <row r="171" spans="2:8">
      <c r="B171" s="125"/>
      <c r="C171" s="126"/>
      <c r="D171" s="127"/>
      <c r="E171" s="26"/>
      <c r="F171" s="26"/>
      <c r="G171" s="71"/>
      <c r="H171" s="38">
        <f t="shared" ref="H171" si="19">F171*G171</f>
        <v>0</v>
      </c>
    </row>
    <row r="172" spans="2:8">
      <c r="B172" s="125"/>
      <c r="C172" s="126"/>
      <c r="D172" s="127"/>
      <c r="E172" s="26"/>
      <c r="F172" s="26"/>
      <c r="G172" s="71"/>
      <c r="H172" s="38"/>
    </row>
    <row r="173" spans="2:8">
      <c r="B173" s="125"/>
      <c r="C173" s="126"/>
      <c r="D173" s="127"/>
      <c r="E173" s="26"/>
      <c r="F173" s="26"/>
      <c r="G173" s="71"/>
      <c r="H173" s="38">
        <f t="shared" ref="H173" si="20">F173*G173</f>
        <v>0</v>
      </c>
    </row>
    <row r="174" spans="2:8">
      <c r="B174" s="35"/>
      <c r="C174" s="28"/>
      <c r="D174" s="28"/>
      <c r="E174" s="28"/>
      <c r="F174" s="28"/>
      <c r="G174" s="70" t="s">
        <v>101</v>
      </c>
      <c r="H174" s="41">
        <f>SUM(H170:H173)</f>
        <v>1990.7909999999999</v>
      </c>
    </row>
    <row r="175" spans="2:8">
      <c r="B175" s="35"/>
      <c r="C175" s="28"/>
      <c r="D175" s="28"/>
      <c r="E175" s="28"/>
      <c r="F175" s="28"/>
      <c r="G175" s="72"/>
      <c r="H175" s="36"/>
    </row>
    <row r="176" spans="2:8">
      <c r="B176" s="131" t="s">
        <v>102</v>
      </c>
      <c r="C176" s="132"/>
      <c r="D176" s="132"/>
      <c r="E176" s="132"/>
      <c r="F176" s="132"/>
      <c r="G176" s="132"/>
      <c r="H176" s="133"/>
    </row>
    <row r="177" spans="2:8">
      <c r="B177" s="128" t="s">
        <v>1</v>
      </c>
      <c r="C177" s="129"/>
      <c r="D177" s="130"/>
      <c r="E177" s="33" t="s">
        <v>90</v>
      </c>
      <c r="F177" s="33" t="s">
        <v>87</v>
      </c>
      <c r="G177" s="70" t="s">
        <v>63</v>
      </c>
      <c r="H177" s="37" t="s">
        <v>18</v>
      </c>
    </row>
    <row r="178" spans="2:8">
      <c r="B178" s="125"/>
      <c r="C178" s="126"/>
      <c r="D178" s="127"/>
      <c r="E178" s="26"/>
      <c r="F178" s="26"/>
      <c r="G178" s="71"/>
      <c r="H178" s="38">
        <f t="shared" ref="H178:H180" si="21">F178*G178</f>
        <v>0</v>
      </c>
    </row>
    <row r="179" spans="2:8">
      <c r="B179" s="125"/>
      <c r="C179" s="126"/>
      <c r="D179" s="127"/>
      <c r="E179" s="26"/>
      <c r="F179" s="26"/>
      <c r="G179" s="71"/>
      <c r="H179" s="38">
        <f t="shared" si="21"/>
        <v>0</v>
      </c>
    </row>
    <row r="180" spans="2:8">
      <c r="B180" s="125"/>
      <c r="C180" s="126"/>
      <c r="D180" s="127"/>
      <c r="E180" s="26"/>
      <c r="F180" s="26"/>
      <c r="G180" s="71"/>
      <c r="H180" s="38">
        <f t="shared" si="21"/>
        <v>0</v>
      </c>
    </row>
    <row r="181" spans="2:8">
      <c r="B181" s="35"/>
      <c r="C181" s="28"/>
      <c r="D181" s="28"/>
      <c r="E181" s="28"/>
      <c r="F181" s="28"/>
      <c r="G181" s="70" t="s">
        <v>103</v>
      </c>
      <c r="H181" s="41">
        <f>SUM(H178:H180)</f>
        <v>0</v>
      </c>
    </row>
    <row r="182" spans="2:8">
      <c r="B182" s="35"/>
      <c r="C182" s="28"/>
      <c r="D182" s="28"/>
      <c r="E182" s="28"/>
      <c r="F182" s="28"/>
      <c r="G182" s="72"/>
      <c r="H182" s="36"/>
    </row>
    <row r="183" spans="2:8">
      <c r="B183" s="131" t="s">
        <v>104</v>
      </c>
      <c r="C183" s="132"/>
      <c r="D183" s="132"/>
      <c r="E183" s="132"/>
      <c r="F183" s="132"/>
      <c r="G183" s="132"/>
      <c r="H183" s="133"/>
    </row>
    <row r="184" spans="2:8">
      <c r="B184" s="128" t="s">
        <v>1</v>
      </c>
      <c r="C184" s="129"/>
      <c r="D184" s="130"/>
      <c r="E184" s="33" t="s">
        <v>90</v>
      </c>
      <c r="F184" s="33" t="s">
        <v>87</v>
      </c>
      <c r="G184" s="70" t="s">
        <v>63</v>
      </c>
      <c r="H184" s="37" t="s">
        <v>18</v>
      </c>
    </row>
    <row r="185" spans="2:8">
      <c r="B185" s="125" t="s">
        <v>118</v>
      </c>
      <c r="C185" s="126"/>
      <c r="D185" s="127"/>
      <c r="E185" s="26" t="s">
        <v>74</v>
      </c>
      <c r="F185" s="26">
        <v>2</v>
      </c>
      <c r="G185" s="71">
        <v>1000</v>
      </c>
      <c r="H185" s="38">
        <f t="shared" ref="H185:H188" si="22">F185*G185</f>
        <v>2000</v>
      </c>
    </row>
    <row r="186" spans="2:8">
      <c r="B186" s="125"/>
      <c r="C186" s="126"/>
      <c r="D186" s="127"/>
      <c r="E186" s="26"/>
      <c r="F186" s="26"/>
      <c r="G186" s="71"/>
      <c r="H186" s="38">
        <f t="shared" si="22"/>
        <v>0</v>
      </c>
    </row>
    <row r="187" spans="2:8">
      <c r="B187" s="125"/>
      <c r="C187" s="126"/>
      <c r="D187" s="127"/>
      <c r="E187" s="26"/>
      <c r="F187" s="26"/>
      <c r="G187" s="71"/>
      <c r="H187" s="38">
        <f t="shared" si="22"/>
        <v>0</v>
      </c>
    </row>
    <row r="188" spans="2:8">
      <c r="B188" s="125"/>
      <c r="C188" s="126"/>
      <c r="D188" s="127"/>
      <c r="E188" s="26"/>
      <c r="F188" s="26"/>
      <c r="G188" s="71"/>
      <c r="H188" s="38">
        <f t="shared" si="22"/>
        <v>0</v>
      </c>
    </row>
    <row r="189" spans="2:8">
      <c r="B189" s="35"/>
      <c r="C189" s="28"/>
      <c r="D189" s="28"/>
      <c r="E189" s="28"/>
      <c r="F189" s="28"/>
      <c r="G189" s="70" t="s">
        <v>103</v>
      </c>
      <c r="H189" s="41">
        <f>SUM(H185:H188)</f>
        <v>2000</v>
      </c>
    </row>
    <row r="190" spans="2:8">
      <c r="B190" s="35"/>
      <c r="C190" s="28"/>
      <c r="D190" s="28"/>
      <c r="E190" s="28"/>
      <c r="F190" s="28"/>
      <c r="G190" s="72"/>
      <c r="H190" s="36"/>
    </row>
    <row r="191" spans="2:8">
      <c r="B191" s="35"/>
      <c r="C191" s="28"/>
      <c r="D191" s="28"/>
      <c r="E191" s="28"/>
      <c r="F191" s="28"/>
      <c r="G191" s="72"/>
      <c r="H191" s="36"/>
    </row>
    <row r="192" spans="2:8">
      <c r="B192" s="35"/>
      <c r="C192" s="28"/>
      <c r="D192" s="28"/>
      <c r="E192" s="28"/>
      <c r="F192" s="28"/>
      <c r="G192" s="74" t="s">
        <v>49</v>
      </c>
      <c r="H192" s="44">
        <f>H157+H166+H174+H181+H189</f>
        <v>6861.491</v>
      </c>
    </row>
    <row r="193" spans="2:8" ht="15" thickBot="1">
      <c r="B193" s="45"/>
      <c r="C193" s="46"/>
      <c r="D193" s="46"/>
      <c r="E193" s="46"/>
      <c r="F193" s="46"/>
      <c r="G193" s="76"/>
      <c r="H193" s="47"/>
    </row>
    <row r="194" spans="2:8" s="60" customFormat="1">
      <c r="G194" s="77"/>
    </row>
    <row r="195" spans="2:8" s="60" customFormat="1" ht="15" thickBot="1">
      <c r="G195" s="77"/>
    </row>
    <row r="196" spans="2:8">
      <c r="B196" s="141" t="s">
        <v>81</v>
      </c>
      <c r="C196" s="142"/>
      <c r="D196" s="143" t="s">
        <v>19</v>
      </c>
      <c r="E196" s="144"/>
      <c r="F196" s="144"/>
      <c r="G196" s="144"/>
      <c r="H196" s="145"/>
    </row>
    <row r="197" spans="2:8">
      <c r="B197" s="146" t="s">
        <v>119</v>
      </c>
      <c r="C197" s="147"/>
      <c r="D197" s="147"/>
      <c r="E197" s="147"/>
      <c r="F197" s="147"/>
      <c r="G197" s="147"/>
      <c r="H197" s="148"/>
    </row>
    <row r="198" spans="2:8">
      <c r="B198" s="32" t="s">
        <v>83</v>
      </c>
      <c r="C198" s="26"/>
      <c r="D198" s="28"/>
      <c r="E198" s="28"/>
      <c r="F198" s="28"/>
      <c r="G198" s="70" t="s">
        <v>84</v>
      </c>
      <c r="H198" s="34" t="s">
        <v>23</v>
      </c>
    </row>
    <row r="199" spans="2:8">
      <c r="B199" s="35"/>
      <c r="C199" s="28"/>
      <c r="D199" s="28"/>
      <c r="E199" s="28"/>
      <c r="F199" s="28"/>
      <c r="G199" s="70" t="s">
        <v>85</v>
      </c>
      <c r="H199" s="48">
        <v>491.19</v>
      </c>
    </row>
    <row r="200" spans="2:8">
      <c r="B200" s="131" t="s">
        <v>86</v>
      </c>
      <c r="C200" s="132"/>
      <c r="D200" s="132"/>
      <c r="E200" s="132"/>
      <c r="F200" s="132"/>
      <c r="G200" s="132"/>
      <c r="H200" s="133"/>
    </row>
    <row r="201" spans="2:8">
      <c r="B201" s="128" t="s">
        <v>1</v>
      </c>
      <c r="C201" s="129"/>
      <c r="D201" s="130"/>
      <c r="E201" s="33" t="s">
        <v>84</v>
      </c>
      <c r="F201" s="33" t="s">
        <v>87</v>
      </c>
      <c r="G201" s="70" t="s">
        <v>63</v>
      </c>
      <c r="H201" s="37" t="s">
        <v>18</v>
      </c>
    </row>
    <row r="202" spans="2:8" ht="25.9" customHeight="1">
      <c r="B202" s="125" t="s">
        <v>108</v>
      </c>
      <c r="C202" s="126"/>
      <c r="D202" s="127"/>
      <c r="E202" s="26" t="s">
        <v>120</v>
      </c>
      <c r="F202" s="26">
        <v>4.2999999999999997E-2</v>
      </c>
      <c r="G202" s="71">
        <v>760000</v>
      </c>
      <c r="H202" s="38">
        <f>G202*F202</f>
        <v>32679.999999999996</v>
      </c>
    </row>
    <row r="203" spans="2:8" ht="24" customHeight="1">
      <c r="B203" s="125" t="s">
        <v>121</v>
      </c>
      <c r="C203" s="126"/>
      <c r="D203" s="127"/>
      <c r="E203" s="26" t="s">
        <v>120</v>
      </c>
      <c r="F203" s="26">
        <v>4.2999999999999997E-2</v>
      </c>
      <c r="G203" s="71">
        <v>640000</v>
      </c>
      <c r="H203" s="38">
        <f>G203*F203</f>
        <v>27519.999999999996</v>
      </c>
    </row>
    <row r="204" spans="2:8">
      <c r="B204" s="125"/>
      <c r="C204" s="126"/>
      <c r="D204" s="127"/>
      <c r="E204" s="26"/>
      <c r="F204" s="26"/>
      <c r="G204" s="71"/>
      <c r="H204" s="38">
        <f t="shared" ref="H204" si="23">F204*G204</f>
        <v>0</v>
      </c>
    </row>
    <row r="205" spans="2:8">
      <c r="B205" s="39"/>
      <c r="C205" s="40"/>
      <c r="D205" s="40"/>
      <c r="E205" s="28"/>
      <c r="F205" s="28"/>
      <c r="G205" s="70" t="s">
        <v>88</v>
      </c>
      <c r="H205" s="41">
        <f>SUM(H202:H204)</f>
        <v>60199.999999999993</v>
      </c>
    </row>
    <row r="206" spans="2:8">
      <c r="B206" s="35"/>
      <c r="C206" s="28"/>
      <c r="D206" s="28"/>
      <c r="E206" s="28"/>
      <c r="F206" s="28"/>
      <c r="G206" s="72"/>
      <c r="H206" s="36"/>
    </row>
    <row r="207" spans="2:8">
      <c r="B207" s="131" t="s">
        <v>89</v>
      </c>
      <c r="C207" s="132"/>
      <c r="D207" s="132"/>
      <c r="E207" s="132"/>
      <c r="F207" s="132"/>
      <c r="G207" s="132"/>
      <c r="H207" s="133"/>
    </row>
    <row r="208" spans="2:8">
      <c r="B208" s="128" t="s">
        <v>1</v>
      </c>
      <c r="C208" s="129"/>
      <c r="D208" s="130"/>
      <c r="E208" s="33" t="s">
        <v>90</v>
      </c>
      <c r="F208" s="33" t="s">
        <v>87</v>
      </c>
      <c r="G208" s="70" t="s">
        <v>63</v>
      </c>
      <c r="H208" s="37" t="s">
        <v>18</v>
      </c>
    </row>
    <row r="209" spans="2:8">
      <c r="B209" s="125"/>
      <c r="C209" s="126"/>
      <c r="D209" s="127"/>
      <c r="E209" s="26"/>
      <c r="F209" s="42"/>
      <c r="G209" s="73"/>
      <c r="H209" s="38">
        <f>F209*G209</f>
        <v>0</v>
      </c>
    </row>
    <row r="210" spans="2:8">
      <c r="B210" s="125"/>
      <c r="C210" s="126"/>
      <c r="D210" s="127"/>
      <c r="E210" s="26"/>
      <c r="F210" s="42"/>
      <c r="G210" s="73"/>
      <c r="H210" s="38">
        <f t="shared" ref="H210:H213" si="24">F210*G210</f>
        <v>0</v>
      </c>
    </row>
    <row r="211" spans="2:8">
      <c r="B211" s="125"/>
      <c r="C211" s="126"/>
      <c r="D211" s="127"/>
      <c r="E211" s="26"/>
      <c r="F211" s="42"/>
      <c r="G211" s="73"/>
      <c r="H211" s="38">
        <f t="shared" si="24"/>
        <v>0</v>
      </c>
    </row>
    <row r="212" spans="2:8">
      <c r="B212" s="125"/>
      <c r="C212" s="126"/>
      <c r="D212" s="127"/>
      <c r="E212" s="26"/>
      <c r="F212" s="42"/>
      <c r="G212" s="73"/>
      <c r="H212" s="38">
        <f t="shared" si="24"/>
        <v>0</v>
      </c>
    </row>
    <row r="213" spans="2:8">
      <c r="B213" s="125"/>
      <c r="C213" s="126"/>
      <c r="D213" s="127"/>
      <c r="E213" s="26"/>
      <c r="F213" s="42"/>
      <c r="G213" s="73"/>
      <c r="H213" s="38">
        <f t="shared" si="24"/>
        <v>0</v>
      </c>
    </row>
    <row r="214" spans="2:8">
      <c r="B214" s="35"/>
      <c r="C214" s="28"/>
      <c r="D214" s="28"/>
      <c r="E214" s="28"/>
      <c r="F214" s="28"/>
      <c r="G214" s="70" t="s">
        <v>97</v>
      </c>
      <c r="H214" s="41">
        <f>SUM(H209:H213)</f>
        <v>0</v>
      </c>
    </row>
    <row r="215" spans="2:8">
      <c r="B215" s="35"/>
      <c r="C215" s="28"/>
      <c r="D215" s="28"/>
      <c r="E215" s="28"/>
      <c r="F215" s="28"/>
      <c r="G215" s="72"/>
      <c r="H215" s="36"/>
    </row>
    <row r="216" spans="2:8">
      <c r="B216" s="131" t="s">
        <v>98</v>
      </c>
      <c r="C216" s="132"/>
      <c r="D216" s="132"/>
      <c r="E216" s="132"/>
      <c r="F216" s="132"/>
      <c r="G216" s="132"/>
      <c r="H216" s="133"/>
    </row>
    <row r="217" spans="2:8">
      <c r="B217" s="128" t="s">
        <v>1</v>
      </c>
      <c r="C217" s="129"/>
      <c r="D217" s="130"/>
      <c r="E217" s="33" t="s">
        <v>90</v>
      </c>
      <c r="F217" s="33" t="s">
        <v>87</v>
      </c>
      <c r="G217" s="70" t="s">
        <v>63</v>
      </c>
      <c r="H217" s="37" t="s">
        <v>18</v>
      </c>
    </row>
    <row r="218" spans="2:8">
      <c r="B218" s="125" t="s">
        <v>122</v>
      </c>
      <c r="C218" s="126"/>
      <c r="D218" s="127"/>
      <c r="E218" s="26" t="s">
        <v>100</v>
      </c>
      <c r="F218" s="26">
        <v>4.2999999999999997E-2</v>
      </c>
      <c r="G218" s="71">
        <v>77563</v>
      </c>
      <c r="H218" s="38">
        <f>G218*F218</f>
        <v>3335.2089999999998</v>
      </c>
    </row>
    <row r="219" spans="2:8">
      <c r="B219" s="125"/>
      <c r="C219" s="126"/>
      <c r="D219" s="127"/>
      <c r="E219" s="26"/>
      <c r="F219" s="26"/>
      <c r="G219" s="71"/>
      <c r="H219" s="38">
        <f t="shared" ref="H219" si="25">F219*G219</f>
        <v>0</v>
      </c>
    </row>
    <row r="220" spans="2:8">
      <c r="B220" s="125"/>
      <c r="C220" s="126"/>
      <c r="D220" s="127"/>
      <c r="E220" s="26"/>
      <c r="F220" s="26"/>
      <c r="G220" s="71"/>
      <c r="H220" s="38"/>
    </row>
    <row r="221" spans="2:8">
      <c r="B221" s="125"/>
      <c r="C221" s="126"/>
      <c r="D221" s="127"/>
      <c r="E221" s="26"/>
      <c r="F221" s="26"/>
      <c r="G221" s="71"/>
      <c r="H221" s="38">
        <f t="shared" ref="H221" si="26">F221*G221</f>
        <v>0</v>
      </c>
    </row>
    <row r="222" spans="2:8">
      <c r="B222" s="35"/>
      <c r="C222" s="28"/>
      <c r="D222" s="28"/>
      <c r="E222" s="28"/>
      <c r="F222" s="28"/>
      <c r="G222" s="70" t="s">
        <v>101</v>
      </c>
      <c r="H222" s="41">
        <f>SUM(H218:H221)</f>
        <v>3335.2089999999998</v>
      </c>
    </row>
    <row r="223" spans="2:8">
      <c r="B223" s="35"/>
      <c r="C223" s="28"/>
      <c r="D223" s="28"/>
      <c r="E223" s="28"/>
      <c r="F223" s="28"/>
      <c r="G223" s="72"/>
      <c r="H223" s="36"/>
    </row>
    <row r="224" spans="2:8">
      <c r="B224" s="131" t="s">
        <v>102</v>
      </c>
      <c r="C224" s="132"/>
      <c r="D224" s="132"/>
      <c r="E224" s="132"/>
      <c r="F224" s="132"/>
      <c r="G224" s="132"/>
      <c r="H224" s="133"/>
    </row>
    <row r="225" spans="2:8">
      <c r="B225" s="128" t="s">
        <v>1</v>
      </c>
      <c r="C225" s="129"/>
      <c r="D225" s="130"/>
      <c r="E225" s="33" t="s">
        <v>90</v>
      </c>
      <c r="F225" s="33" t="s">
        <v>87</v>
      </c>
      <c r="G225" s="70" t="s">
        <v>63</v>
      </c>
      <c r="H225" s="37" t="s">
        <v>18</v>
      </c>
    </row>
    <row r="226" spans="2:8">
      <c r="B226" s="125" t="s">
        <v>109</v>
      </c>
      <c r="C226" s="126"/>
      <c r="D226" s="127"/>
      <c r="E226" s="26" t="s">
        <v>100</v>
      </c>
      <c r="F226" s="26">
        <v>4.2999999999999997E-2</v>
      </c>
      <c r="G226" s="71">
        <v>960000</v>
      </c>
      <c r="H226" s="38">
        <f>G226*F226</f>
        <v>41280</v>
      </c>
    </row>
    <row r="227" spans="2:8">
      <c r="B227" s="125"/>
      <c r="C227" s="126"/>
      <c r="D227" s="127"/>
      <c r="E227" s="26"/>
      <c r="F227" s="26"/>
      <c r="G227" s="71"/>
      <c r="H227" s="38">
        <f t="shared" ref="H227:H228" si="27">F227*G227</f>
        <v>0</v>
      </c>
    </row>
    <row r="228" spans="2:8">
      <c r="B228" s="125"/>
      <c r="C228" s="126"/>
      <c r="D228" s="127"/>
      <c r="E228" s="26"/>
      <c r="F228" s="26"/>
      <c r="G228" s="71"/>
      <c r="H228" s="38">
        <f t="shared" si="27"/>
        <v>0</v>
      </c>
    </row>
    <row r="229" spans="2:8">
      <c r="B229" s="35"/>
      <c r="C229" s="28"/>
      <c r="D229" s="28"/>
      <c r="E229" s="28"/>
      <c r="F229" s="28"/>
      <c r="G229" s="70" t="s">
        <v>103</v>
      </c>
      <c r="H229" s="41">
        <f>SUM(H226:H228)</f>
        <v>41280</v>
      </c>
    </row>
    <row r="230" spans="2:8">
      <c r="B230" s="35"/>
      <c r="C230" s="28"/>
      <c r="D230" s="28"/>
      <c r="E230" s="28"/>
      <c r="F230" s="28"/>
      <c r="G230" s="72"/>
      <c r="H230" s="36"/>
    </row>
    <row r="231" spans="2:8">
      <c r="B231" s="131" t="s">
        <v>104</v>
      </c>
      <c r="C231" s="132"/>
      <c r="D231" s="132"/>
      <c r="E231" s="132"/>
      <c r="F231" s="132"/>
      <c r="G231" s="132"/>
      <c r="H231" s="133"/>
    </row>
    <row r="232" spans="2:8">
      <c r="B232" s="128" t="s">
        <v>1</v>
      </c>
      <c r="C232" s="129"/>
      <c r="D232" s="130"/>
      <c r="E232" s="33" t="s">
        <v>90</v>
      </c>
      <c r="F232" s="33" t="s">
        <v>87</v>
      </c>
      <c r="G232" s="70" t="s">
        <v>63</v>
      </c>
      <c r="H232" s="37" t="s">
        <v>18</v>
      </c>
    </row>
    <row r="233" spans="2:8">
      <c r="B233" s="125"/>
      <c r="C233" s="126"/>
      <c r="D233" s="127"/>
      <c r="E233" s="26"/>
      <c r="F233" s="43"/>
      <c r="G233" s="71"/>
      <c r="H233" s="38">
        <f t="shared" ref="H233:H236" si="28">F233*G233</f>
        <v>0</v>
      </c>
    </row>
    <row r="234" spans="2:8">
      <c r="B234" s="125"/>
      <c r="C234" s="126"/>
      <c r="D234" s="127"/>
      <c r="E234" s="26"/>
      <c r="F234" s="26"/>
      <c r="G234" s="71"/>
      <c r="H234" s="38">
        <f t="shared" si="28"/>
        <v>0</v>
      </c>
    </row>
    <row r="235" spans="2:8">
      <c r="B235" s="125"/>
      <c r="C235" s="126"/>
      <c r="D235" s="127"/>
      <c r="E235" s="26"/>
      <c r="F235" s="26"/>
      <c r="G235" s="71"/>
      <c r="H235" s="38">
        <f t="shared" si="28"/>
        <v>0</v>
      </c>
    </row>
    <row r="236" spans="2:8">
      <c r="B236" s="125"/>
      <c r="C236" s="126"/>
      <c r="D236" s="127"/>
      <c r="E236" s="26"/>
      <c r="F236" s="26"/>
      <c r="G236" s="71"/>
      <c r="H236" s="38">
        <f t="shared" si="28"/>
        <v>0</v>
      </c>
    </row>
    <row r="237" spans="2:8">
      <c r="B237" s="35"/>
      <c r="C237" s="28"/>
      <c r="D237" s="28"/>
      <c r="E237" s="28"/>
      <c r="F237" s="28"/>
      <c r="G237" s="70" t="s">
        <v>103</v>
      </c>
      <c r="H237" s="41">
        <f>SUM(H233:H236)</f>
        <v>0</v>
      </c>
    </row>
    <row r="238" spans="2:8">
      <c r="B238" s="35"/>
      <c r="C238" s="28"/>
      <c r="D238" s="28"/>
      <c r="E238" s="28"/>
      <c r="F238" s="28"/>
      <c r="G238" s="72"/>
      <c r="H238" s="36"/>
    </row>
    <row r="239" spans="2:8">
      <c r="B239" s="35"/>
      <c r="C239" s="28"/>
      <c r="D239" s="28"/>
      <c r="E239" s="28"/>
      <c r="F239" s="28"/>
      <c r="G239" s="72"/>
      <c r="H239" s="36"/>
    </row>
    <row r="240" spans="2:8">
      <c r="B240" s="35"/>
      <c r="C240" s="28"/>
      <c r="D240" s="28"/>
      <c r="E240" s="28"/>
      <c r="F240" s="28"/>
      <c r="G240" s="74" t="s">
        <v>49</v>
      </c>
      <c r="H240" s="44">
        <f>H205+H214+H222+H229+H237</f>
        <v>104815.209</v>
      </c>
    </row>
    <row r="241" spans="2:8" ht="15" thickBot="1">
      <c r="B241" s="45"/>
      <c r="C241" s="46"/>
      <c r="D241" s="46"/>
      <c r="E241" s="46"/>
      <c r="F241" s="46"/>
      <c r="G241" s="76"/>
      <c r="H241" s="47"/>
    </row>
    <row r="242" spans="2:8" s="60" customFormat="1">
      <c r="G242" s="77"/>
    </row>
    <row r="243" spans="2:8" s="60" customFormat="1" ht="15" thickBot="1">
      <c r="G243" s="77"/>
    </row>
    <row r="244" spans="2:8" ht="14.45" customHeight="1">
      <c r="B244" s="141" t="s">
        <v>81</v>
      </c>
      <c r="C244" s="142"/>
      <c r="D244" s="143" t="s">
        <v>25</v>
      </c>
      <c r="E244" s="144"/>
      <c r="F244" s="144"/>
      <c r="G244" s="144"/>
      <c r="H244" s="145"/>
    </row>
    <row r="245" spans="2:8">
      <c r="B245" s="146" t="s">
        <v>119</v>
      </c>
      <c r="C245" s="147"/>
      <c r="D245" s="147"/>
      <c r="E245" s="147"/>
      <c r="F245" s="147"/>
      <c r="G245" s="147"/>
      <c r="H245" s="148"/>
    </row>
    <row r="246" spans="2:8">
      <c r="B246" s="32" t="s">
        <v>83</v>
      </c>
      <c r="C246" s="26"/>
      <c r="D246" s="28"/>
      <c r="E246" s="28"/>
      <c r="F246" s="28"/>
      <c r="G246" s="70" t="s">
        <v>84</v>
      </c>
      <c r="H246" s="34" t="s">
        <v>23</v>
      </c>
    </row>
    <row r="247" spans="2:8">
      <c r="B247" s="35"/>
      <c r="C247" s="28"/>
      <c r="D247" s="28"/>
      <c r="E247" s="28"/>
      <c r="F247" s="28"/>
      <c r="G247" s="70" t="s">
        <v>85</v>
      </c>
      <c r="H247" s="48">
        <v>491.19</v>
      </c>
    </row>
    <row r="248" spans="2:8">
      <c r="B248" s="131" t="s">
        <v>86</v>
      </c>
      <c r="C248" s="132"/>
      <c r="D248" s="132"/>
      <c r="E248" s="132"/>
      <c r="F248" s="132"/>
      <c r="G248" s="132"/>
      <c r="H248" s="133"/>
    </row>
    <row r="249" spans="2:8">
      <c r="B249" s="128" t="s">
        <v>1</v>
      </c>
      <c r="C249" s="129"/>
      <c r="D249" s="130"/>
      <c r="E249" s="33" t="s">
        <v>84</v>
      </c>
      <c r="F249" s="33" t="s">
        <v>87</v>
      </c>
      <c r="G249" s="70" t="s">
        <v>63</v>
      </c>
      <c r="H249" s="37" t="s">
        <v>18</v>
      </c>
    </row>
    <row r="250" spans="2:8" ht="22.15" customHeight="1">
      <c r="B250" s="125" t="s">
        <v>108</v>
      </c>
      <c r="C250" s="126"/>
      <c r="D250" s="127"/>
      <c r="E250" s="26" t="s">
        <v>100</v>
      </c>
      <c r="F250" s="26">
        <v>1.6E-2</v>
      </c>
      <c r="G250" s="71">
        <v>760000</v>
      </c>
      <c r="H250" s="38">
        <f>G250*F250</f>
        <v>12160</v>
      </c>
    </row>
    <row r="251" spans="2:8" ht="23.45" customHeight="1">
      <c r="B251" s="125" t="s">
        <v>121</v>
      </c>
      <c r="C251" s="126"/>
      <c r="D251" s="127"/>
      <c r="E251" s="26" t="s">
        <v>100</v>
      </c>
      <c r="F251" s="26">
        <v>1.6E-2</v>
      </c>
      <c r="G251" s="71">
        <v>640000</v>
      </c>
      <c r="H251" s="38">
        <f>G251*F251</f>
        <v>10240</v>
      </c>
    </row>
    <row r="252" spans="2:8">
      <c r="B252" s="125"/>
      <c r="C252" s="126"/>
      <c r="D252" s="127"/>
      <c r="E252" s="26"/>
      <c r="F252" s="26"/>
      <c r="G252" s="71"/>
      <c r="H252" s="38">
        <f t="shared" ref="H252" si="29">F252*G252</f>
        <v>0</v>
      </c>
    </row>
    <row r="253" spans="2:8">
      <c r="B253" s="39"/>
      <c r="C253" s="40"/>
      <c r="D253" s="40"/>
      <c r="E253" s="28"/>
      <c r="F253" s="28"/>
      <c r="G253" s="70" t="s">
        <v>88</v>
      </c>
      <c r="H253" s="41">
        <f>SUM(H250:H252)</f>
        <v>22400</v>
      </c>
    </row>
    <row r="254" spans="2:8">
      <c r="B254" s="35"/>
      <c r="C254" s="28"/>
      <c r="D254" s="28"/>
      <c r="E254" s="28"/>
      <c r="F254" s="28"/>
      <c r="G254" s="72"/>
      <c r="H254" s="36"/>
    </row>
    <row r="255" spans="2:8">
      <c r="B255" s="131" t="s">
        <v>89</v>
      </c>
      <c r="C255" s="132"/>
      <c r="D255" s="132"/>
      <c r="E255" s="132"/>
      <c r="F255" s="132"/>
      <c r="G255" s="132"/>
      <c r="H255" s="133"/>
    </row>
    <row r="256" spans="2:8">
      <c r="B256" s="128" t="s">
        <v>1</v>
      </c>
      <c r="C256" s="129"/>
      <c r="D256" s="130"/>
      <c r="E256" s="33" t="s">
        <v>90</v>
      </c>
      <c r="F256" s="33" t="s">
        <v>87</v>
      </c>
      <c r="G256" s="70" t="s">
        <v>63</v>
      </c>
      <c r="H256" s="37" t="s">
        <v>18</v>
      </c>
    </row>
    <row r="257" spans="2:8">
      <c r="B257" s="125"/>
      <c r="C257" s="126"/>
      <c r="D257" s="127"/>
      <c r="E257" s="26"/>
      <c r="F257" s="42"/>
      <c r="G257" s="73"/>
      <c r="H257" s="38">
        <f>F257*G257</f>
        <v>0</v>
      </c>
    </row>
    <row r="258" spans="2:8">
      <c r="B258" s="125"/>
      <c r="C258" s="126"/>
      <c r="D258" s="127"/>
      <c r="E258" s="26"/>
      <c r="F258" s="42"/>
      <c r="G258" s="73"/>
      <c r="H258" s="38">
        <f t="shared" ref="H258:H261" si="30">F258*G258</f>
        <v>0</v>
      </c>
    </row>
    <row r="259" spans="2:8">
      <c r="B259" s="125"/>
      <c r="C259" s="126"/>
      <c r="D259" s="127"/>
      <c r="E259" s="26"/>
      <c r="F259" s="42"/>
      <c r="G259" s="73"/>
      <c r="H259" s="38">
        <f t="shared" si="30"/>
        <v>0</v>
      </c>
    </row>
    <row r="260" spans="2:8">
      <c r="B260" s="125"/>
      <c r="C260" s="126"/>
      <c r="D260" s="127"/>
      <c r="E260" s="26"/>
      <c r="F260" s="42"/>
      <c r="G260" s="73"/>
      <c r="H260" s="38">
        <f t="shared" si="30"/>
        <v>0</v>
      </c>
    </row>
    <row r="261" spans="2:8">
      <c r="B261" s="125"/>
      <c r="C261" s="126"/>
      <c r="D261" s="127"/>
      <c r="E261" s="26"/>
      <c r="F261" s="42"/>
      <c r="G261" s="73"/>
      <c r="H261" s="38">
        <f t="shared" si="30"/>
        <v>0</v>
      </c>
    </row>
    <row r="262" spans="2:8">
      <c r="B262" s="35"/>
      <c r="C262" s="28"/>
      <c r="D262" s="28"/>
      <c r="E262" s="28"/>
      <c r="F262" s="28"/>
      <c r="G262" s="70" t="s">
        <v>97</v>
      </c>
      <c r="H262" s="41">
        <f>SUM(H257:H261)</f>
        <v>0</v>
      </c>
    </row>
    <row r="263" spans="2:8">
      <c r="B263" s="35"/>
      <c r="C263" s="28"/>
      <c r="D263" s="28"/>
      <c r="E263" s="28"/>
      <c r="F263" s="28"/>
      <c r="G263" s="72"/>
      <c r="H263" s="36"/>
    </row>
    <row r="264" spans="2:8">
      <c r="B264" s="131" t="s">
        <v>98</v>
      </c>
      <c r="C264" s="132"/>
      <c r="D264" s="132"/>
      <c r="E264" s="132"/>
      <c r="F264" s="132"/>
      <c r="G264" s="132"/>
      <c r="H264" s="133"/>
    </row>
    <row r="265" spans="2:8">
      <c r="B265" s="128" t="s">
        <v>1</v>
      </c>
      <c r="C265" s="129"/>
      <c r="D265" s="130"/>
      <c r="E265" s="33" t="s">
        <v>90</v>
      </c>
      <c r="F265" s="33" t="s">
        <v>87</v>
      </c>
      <c r="G265" s="70" t="s">
        <v>63</v>
      </c>
      <c r="H265" s="37" t="s">
        <v>18</v>
      </c>
    </row>
    <row r="266" spans="2:8">
      <c r="B266" s="125" t="s">
        <v>99</v>
      </c>
      <c r="C266" s="126"/>
      <c r="D266" s="127"/>
      <c r="E266" s="26" t="s">
        <v>100</v>
      </c>
      <c r="F266" s="26">
        <v>1.6E-2</v>
      </c>
      <c r="G266" s="71">
        <v>77563</v>
      </c>
      <c r="H266" s="38">
        <f>G266*F266</f>
        <v>1241.008</v>
      </c>
    </row>
    <row r="267" spans="2:8">
      <c r="B267" s="125"/>
      <c r="C267" s="126"/>
      <c r="D267" s="127"/>
      <c r="E267" s="26"/>
      <c r="F267" s="26"/>
      <c r="G267" s="71"/>
      <c r="H267" s="38">
        <f t="shared" ref="H267" si="31">F267*G267</f>
        <v>0</v>
      </c>
    </row>
    <row r="268" spans="2:8">
      <c r="B268" s="125"/>
      <c r="C268" s="126"/>
      <c r="D268" s="127"/>
      <c r="E268" s="26"/>
      <c r="F268" s="26"/>
      <c r="G268" s="71"/>
      <c r="H268" s="38"/>
    </row>
    <row r="269" spans="2:8">
      <c r="B269" s="125"/>
      <c r="C269" s="126"/>
      <c r="D269" s="127"/>
      <c r="E269" s="26"/>
      <c r="F269" s="26"/>
      <c r="G269" s="71"/>
      <c r="H269" s="38">
        <f t="shared" ref="H269" si="32">F269*G269</f>
        <v>0</v>
      </c>
    </row>
    <row r="270" spans="2:8">
      <c r="B270" s="35"/>
      <c r="C270" s="28"/>
      <c r="D270" s="28"/>
      <c r="E270" s="28"/>
      <c r="F270" s="28"/>
      <c r="G270" s="70" t="s">
        <v>101</v>
      </c>
      <c r="H270" s="41">
        <f>SUM(H266:H269)</f>
        <v>1241.008</v>
      </c>
    </row>
    <row r="271" spans="2:8">
      <c r="B271" s="35"/>
      <c r="C271" s="28"/>
      <c r="D271" s="28"/>
      <c r="E271" s="28"/>
      <c r="F271" s="28"/>
      <c r="G271" s="72"/>
      <c r="H271" s="36"/>
    </row>
    <row r="272" spans="2:8">
      <c r="B272" s="131" t="s">
        <v>102</v>
      </c>
      <c r="C272" s="132"/>
      <c r="D272" s="132"/>
      <c r="E272" s="132"/>
      <c r="F272" s="132"/>
      <c r="G272" s="132"/>
      <c r="H272" s="133"/>
    </row>
    <row r="273" spans="2:8">
      <c r="B273" s="128" t="s">
        <v>1</v>
      </c>
      <c r="C273" s="129"/>
      <c r="D273" s="130"/>
      <c r="E273" s="33" t="s">
        <v>90</v>
      </c>
      <c r="F273" s="33" t="s">
        <v>87</v>
      </c>
      <c r="G273" s="70" t="s">
        <v>63</v>
      </c>
      <c r="H273" s="37" t="s">
        <v>18</v>
      </c>
    </row>
    <row r="274" spans="2:8">
      <c r="B274" s="125" t="s">
        <v>109</v>
      </c>
      <c r="C274" s="126"/>
      <c r="D274" s="127"/>
      <c r="E274" s="26" t="s">
        <v>100</v>
      </c>
      <c r="F274" s="26">
        <v>1.6E-2</v>
      </c>
      <c r="G274" s="71">
        <v>960000</v>
      </c>
      <c r="H274" s="38">
        <f>G274*F274</f>
        <v>15360</v>
      </c>
    </row>
    <row r="275" spans="2:8">
      <c r="B275" s="125"/>
      <c r="C275" s="126"/>
      <c r="D275" s="127"/>
      <c r="E275" s="26"/>
      <c r="F275" s="26"/>
      <c r="G275" s="71"/>
      <c r="H275" s="38">
        <f t="shared" ref="H275:H276" si="33">F275*G275</f>
        <v>0</v>
      </c>
    </row>
    <row r="276" spans="2:8">
      <c r="B276" s="125"/>
      <c r="C276" s="126"/>
      <c r="D276" s="127"/>
      <c r="E276" s="26"/>
      <c r="F276" s="26"/>
      <c r="G276" s="71"/>
      <c r="H276" s="38">
        <f t="shared" si="33"/>
        <v>0</v>
      </c>
    </row>
    <row r="277" spans="2:8">
      <c r="B277" s="35"/>
      <c r="C277" s="28"/>
      <c r="D277" s="28"/>
      <c r="E277" s="28"/>
      <c r="F277" s="28"/>
      <c r="G277" s="70" t="s">
        <v>103</v>
      </c>
      <c r="H277" s="41">
        <f>SUM(H274:H276)</f>
        <v>15360</v>
      </c>
    </row>
    <row r="278" spans="2:8">
      <c r="B278" s="35"/>
      <c r="C278" s="28"/>
      <c r="D278" s="28"/>
      <c r="E278" s="28"/>
      <c r="F278" s="28"/>
      <c r="G278" s="72"/>
      <c r="H278" s="36"/>
    </row>
    <row r="279" spans="2:8">
      <c r="B279" s="131" t="s">
        <v>104</v>
      </c>
      <c r="C279" s="132"/>
      <c r="D279" s="132"/>
      <c r="E279" s="132"/>
      <c r="F279" s="132"/>
      <c r="G279" s="132"/>
      <c r="H279" s="133"/>
    </row>
    <row r="280" spans="2:8">
      <c r="B280" s="128" t="s">
        <v>1</v>
      </c>
      <c r="C280" s="129"/>
      <c r="D280" s="130"/>
      <c r="E280" s="33" t="s">
        <v>90</v>
      </c>
      <c r="F280" s="33" t="s">
        <v>87</v>
      </c>
      <c r="G280" s="70" t="s">
        <v>63</v>
      </c>
      <c r="H280" s="37" t="s">
        <v>18</v>
      </c>
    </row>
    <row r="281" spans="2:8">
      <c r="B281" s="125"/>
      <c r="C281" s="126"/>
      <c r="D281" s="127"/>
      <c r="E281" s="26"/>
      <c r="F281" s="43"/>
      <c r="G281" s="71"/>
      <c r="H281" s="38">
        <f t="shared" ref="H281:H284" si="34">F281*G281</f>
        <v>0</v>
      </c>
    </row>
    <row r="282" spans="2:8">
      <c r="B282" s="125"/>
      <c r="C282" s="126"/>
      <c r="D282" s="127"/>
      <c r="E282" s="26"/>
      <c r="F282" s="26"/>
      <c r="G282" s="71"/>
      <c r="H282" s="38">
        <f t="shared" si="34"/>
        <v>0</v>
      </c>
    </row>
    <row r="283" spans="2:8">
      <c r="B283" s="125"/>
      <c r="C283" s="126"/>
      <c r="D283" s="127"/>
      <c r="E283" s="26"/>
      <c r="F283" s="26"/>
      <c r="G283" s="71"/>
      <c r="H283" s="38">
        <f t="shared" si="34"/>
        <v>0</v>
      </c>
    </row>
    <row r="284" spans="2:8">
      <c r="B284" s="125"/>
      <c r="C284" s="126"/>
      <c r="D284" s="127"/>
      <c r="E284" s="26"/>
      <c r="F284" s="26"/>
      <c r="G284" s="71"/>
      <c r="H284" s="38">
        <f t="shared" si="34"/>
        <v>0</v>
      </c>
    </row>
    <row r="285" spans="2:8">
      <c r="B285" s="35"/>
      <c r="C285" s="28"/>
      <c r="D285" s="28"/>
      <c r="E285" s="28"/>
      <c r="F285" s="28"/>
      <c r="G285" s="70" t="s">
        <v>103</v>
      </c>
      <c r="H285" s="41">
        <f>SUM(H281:H284)</f>
        <v>0</v>
      </c>
    </row>
    <row r="286" spans="2:8">
      <c r="B286" s="35"/>
      <c r="C286" s="28"/>
      <c r="D286" s="28"/>
      <c r="E286" s="28"/>
      <c r="F286" s="28"/>
      <c r="G286" s="72"/>
      <c r="H286" s="36"/>
    </row>
    <row r="287" spans="2:8">
      <c r="B287" s="35"/>
      <c r="C287" s="28"/>
      <c r="D287" s="28"/>
      <c r="E287" s="28"/>
      <c r="F287" s="28"/>
      <c r="G287" s="72"/>
      <c r="H287" s="36"/>
    </row>
    <row r="288" spans="2:8">
      <c r="B288" s="35"/>
      <c r="C288" s="28"/>
      <c r="D288" s="28"/>
      <c r="E288" s="28"/>
      <c r="F288" s="28"/>
      <c r="G288" s="74" t="s">
        <v>49</v>
      </c>
      <c r="H288" s="44">
        <f>H253+H262+H270+H277+H285</f>
        <v>39001.008000000002</v>
      </c>
    </row>
    <row r="289" spans="2:8" ht="15" thickBot="1">
      <c r="B289" s="45"/>
      <c r="C289" s="46"/>
      <c r="D289" s="46"/>
      <c r="E289" s="46"/>
      <c r="F289" s="46"/>
      <c r="G289" s="76"/>
      <c r="H289" s="47"/>
    </row>
    <row r="290" spans="2:8" s="60" customFormat="1">
      <c r="G290" s="77"/>
    </row>
    <row r="291" spans="2:8" s="60" customFormat="1" ht="15" thickBot="1">
      <c r="G291" s="77"/>
    </row>
    <row r="292" spans="2:8">
      <c r="B292" s="141" t="s">
        <v>81</v>
      </c>
      <c r="C292" s="142"/>
      <c r="D292" s="143" t="s">
        <v>27</v>
      </c>
      <c r="E292" s="144"/>
      <c r="F292" s="144"/>
      <c r="G292" s="144"/>
      <c r="H292" s="145"/>
    </row>
    <row r="293" spans="2:8">
      <c r="B293" s="146" t="s">
        <v>28</v>
      </c>
      <c r="C293" s="147"/>
      <c r="D293" s="147"/>
      <c r="E293" s="147"/>
      <c r="F293" s="147"/>
      <c r="G293" s="147"/>
      <c r="H293" s="148"/>
    </row>
    <row r="294" spans="2:8">
      <c r="B294" s="32" t="s">
        <v>83</v>
      </c>
      <c r="C294" s="26"/>
      <c r="D294" s="28"/>
      <c r="E294" s="28"/>
      <c r="F294" s="28"/>
      <c r="G294" s="70" t="s">
        <v>84</v>
      </c>
      <c r="H294" s="34" t="s">
        <v>29</v>
      </c>
    </row>
    <row r="295" spans="2:8">
      <c r="B295" s="35"/>
      <c r="C295" s="28"/>
      <c r="D295" s="28"/>
      <c r="E295" s="28"/>
      <c r="F295" s="28"/>
      <c r="G295" s="70" t="s">
        <v>85</v>
      </c>
      <c r="H295" s="48">
        <v>94.97</v>
      </c>
    </row>
    <row r="296" spans="2:8">
      <c r="B296" s="131" t="s">
        <v>86</v>
      </c>
      <c r="C296" s="132"/>
      <c r="D296" s="132"/>
      <c r="E296" s="132"/>
      <c r="F296" s="132"/>
      <c r="G296" s="132"/>
      <c r="H296" s="133"/>
    </row>
    <row r="297" spans="2:8">
      <c r="B297" s="128" t="s">
        <v>1</v>
      </c>
      <c r="C297" s="129"/>
      <c r="D297" s="130"/>
      <c r="E297" s="33" t="s">
        <v>84</v>
      </c>
      <c r="F297" s="33" t="s">
        <v>87</v>
      </c>
      <c r="G297" s="70" t="s">
        <v>63</v>
      </c>
      <c r="H297" s="37" t="s">
        <v>18</v>
      </c>
    </row>
    <row r="298" spans="2:8">
      <c r="B298" s="125"/>
      <c r="C298" s="126"/>
      <c r="D298" s="127"/>
      <c r="E298" s="26"/>
      <c r="F298" s="26"/>
      <c r="G298" s="71"/>
      <c r="H298" s="38">
        <f t="shared" ref="H298:H300" si="35">F298*G298</f>
        <v>0</v>
      </c>
    </row>
    <row r="299" spans="2:8">
      <c r="B299" s="125"/>
      <c r="C299" s="126"/>
      <c r="D299" s="127"/>
      <c r="E299" s="26"/>
      <c r="F299" s="26"/>
      <c r="G299" s="71"/>
      <c r="H299" s="38">
        <f t="shared" si="35"/>
        <v>0</v>
      </c>
    </row>
    <row r="300" spans="2:8">
      <c r="B300" s="125"/>
      <c r="C300" s="126"/>
      <c r="D300" s="127"/>
      <c r="E300" s="26"/>
      <c r="F300" s="26"/>
      <c r="G300" s="71"/>
      <c r="H300" s="38">
        <f t="shared" si="35"/>
        <v>0</v>
      </c>
    </row>
    <row r="301" spans="2:8">
      <c r="B301" s="39"/>
      <c r="C301" s="40"/>
      <c r="D301" s="40"/>
      <c r="E301" s="28"/>
      <c r="F301" s="28"/>
      <c r="G301" s="70" t="s">
        <v>88</v>
      </c>
      <c r="H301" s="41">
        <f>SUM(H298:H300)</f>
        <v>0</v>
      </c>
    </row>
    <row r="302" spans="2:8">
      <c r="B302" s="35"/>
      <c r="C302" s="28"/>
      <c r="D302" s="28"/>
      <c r="E302" s="28"/>
      <c r="F302" s="28"/>
      <c r="G302" s="72"/>
      <c r="H302" s="36"/>
    </row>
    <row r="303" spans="2:8">
      <c r="B303" s="131" t="s">
        <v>89</v>
      </c>
      <c r="C303" s="132"/>
      <c r="D303" s="132"/>
      <c r="E303" s="132"/>
      <c r="F303" s="132"/>
      <c r="G303" s="132"/>
      <c r="H303" s="133"/>
    </row>
    <row r="304" spans="2:8">
      <c r="B304" s="128" t="s">
        <v>1</v>
      </c>
      <c r="C304" s="129"/>
      <c r="D304" s="130"/>
      <c r="E304" s="33" t="s">
        <v>90</v>
      </c>
      <c r="F304" s="33" t="s">
        <v>87</v>
      </c>
      <c r="G304" s="70" t="s">
        <v>63</v>
      </c>
      <c r="H304" s="37" t="s">
        <v>18</v>
      </c>
    </row>
    <row r="305" spans="2:8">
      <c r="B305" s="125"/>
      <c r="C305" s="126"/>
      <c r="D305" s="127"/>
      <c r="E305" s="26"/>
      <c r="F305" s="42"/>
      <c r="G305" s="73"/>
      <c r="H305" s="38">
        <f>F305*G305</f>
        <v>0</v>
      </c>
    </row>
    <row r="306" spans="2:8">
      <c r="B306" s="125"/>
      <c r="C306" s="126"/>
      <c r="D306" s="127"/>
      <c r="E306" s="26"/>
      <c r="F306" s="42"/>
      <c r="G306" s="73"/>
      <c r="H306" s="38">
        <f t="shared" ref="H306:H309" si="36">F306*G306</f>
        <v>0</v>
      </c>
    </row>
    <row r="307" spans="2:8">
      <c r="B307" s="125"/>
      <c r="C307" s="126"/>
      <c r="D307" s="127"/>
      <c r="E307" s="26"/>
      <c r="F307" s="42"/>
      <c r="G307" s="73"/>
      <c r="H307" s="38">
        <f t="shared" si="36"/>
        <v>0</v>
      </c>
    </row>
    <row r="308" spans="2:8">
      <c r="B308" s="125"/>
      <c r="C308" s="126"/>
      <c r="D308" s="127"/>
      <c r="E308" s="26"/>
      <c r="F308" s="42"/>
      <c r="G308" s="73"/>
      <c r="H308" s="38">
        <f t="shared" si="36"/>
        <v>0</v>
      </c>
    </row>
    <row r="309" spans="2:8">
      <c r="B309" s="125"/>
      <c r="C309" s="126"/>
      <c r="D309" s="127"/>
      <c r="E309" s="26"/>
      <c r="F309" s="42"/>
      <c r="G309" s="73"/>
      <c r="H309" s="38">
        <f t="shared" si="36"/>
        <v>0</v>
      </c>
    </row>
    <row r="310" spans="2:8">
      <c r="B310" s="35"/>
      <c r="C310" s="28"/>
      <c r="D310" s="28"/>
      <c r="E310" s="28"/>
      <c r="F310" s="28"/>
      <c r="G310" s="70" t="s">
        <v>97</v>
      </c>
      <c r="H310" s="41">
        <f>SUM(H305:H309)</f>
        <v>0</v>
      </c>
    </row>
    <row r="311" spans="2:8">
      <c r="B311" s="35"/>
      <c r="C311" s="28"/>
      <c r="D311" s="28"/>
      <c r="E311" s="28"/>
      <c r="F311" s="28"/>
      <c r="G311" s="72"/>
      <c r="H311" s="36"/>
    </row>
    <row r="312" spans="2:8">
      <c r="B312" s="131" t="s">
        <v>98</v>
      </c>
      <c r="C312" s="132"/>
      <c r="D312" s="132"/>
      <c r="E312" s="132"/>
      <c r="F312" s="132"/>
      <c r="G312" s="132"/>
      <c r="H312" s="133"/>
    </row>
    <row r="313" spans="2:8">
      <c r="B313" s="128" t="s">
        <v>1</v>
      </c>
      <c r="C313" s="129"/>
      <c r="D313" s="130"/>
      <c r="E313" s="33" t="s">
        <v>90</v>
      </c>
      <c r="F313" s="33" t="s">
        <v>87</v>
      </c>
      <c r="G313" s="70" t="s">
        <v>63</v>
      </c>
      <c r="H313" s="37" t="s">
        <v>18</v>
      </c>
    </row>
    <row r="314" spans="2:8">
      <c r="B314" s="125" t="s">
        <v>99</v>
      </c>
      <c r="C314" s="126"/>
      <c r="D314" s="127"/>
      <c r="E314" s="26" t="s">
        <v>100</v>
      </c>
      <c r="F314" s="26">
        <v>8.4000000000000005E-2</v>
      </c>
      <c r="G314" s="71">
        <v>77563</v>
      </c>
      <c r="H314" s="38">
        <f t="shared" ref="H314:H316" si="37">F314*G314</f>
        <v>6515.2920000000004</v>
      </c>
    </row>
    <row r="315" spans="2:8">
      <c r="B315" s="125"/>
      <c r="C315" s="126"/>
      <c r="D315" s="127"/>
      <c r="E315" s="26"/>
      <c r="F315" s="26"/>
      <c r="G315" s="71"/>
      <c r="H315" s="38">
        <f t="shared" si="37"/>
        <v>0</v>
      </c>
    </row>
    <row r="316" spans="2:8">
      <c r="B316" s="125"/>
      <c r="C316" s="126"/>
      <c r="D316" s="127"/>
      <c r="E316" s="26"/>
      <c r="F316" s="26"/>
      <c r="G316" s="71"/>
      <c r="H316" s="38">
        <f t="shared" si="37"/>
        <v>0</v>
      </c>
    </row>
    <row r="317" spans="2:8">
      <c r="B317" s="125"/>
      <c r="C317" s="126"/>
      <c r="D317" s="127"/>
      <c r="E317" s="26"/>
      <c r="F317" s="26"/>
      <c r="G317" s="71"/>
      <c r="H317" s="38">
        <f t="shared" ref="H317" si="38">F317*G317</f>
        <v>0</v>
      </c>
    </row>
    <row r="318" spans="2:8">
      <c r="B318" s="35"/>
      <c r="C318" s="28"/>
      <c r="D318" s="28"/>
      <c r="E318" s="28"/>
      <c r="F318" s="28"/>
      <c r="G318" s="70" t="s">
        <v>101</v>
      </c>
      <c r="H318" s="41">
        <f>SUM(H314:H317)</f>
        <v>6515.2920000000004</v>
      </c>
    </row>
    <row r="319" spans="2:8">
      <c r="B319" s="35"/>
      <c r="C319" s="28"/>
      <c r="D319" s="28"/>
      <c r="E319" s="28"/>
      <c r="F319" s="28"/>
      <c r="G319" s="72"/>
      <c r="H319" s="36"/>
    </row>
    <row r="320" spans="2:8">
      <c r="B320" s="131" t="s">
        <v>102</v>
      </c>
      <c r="C320" s="132"/>
      <c r="D320" s="132"/>
      <c r="E320" s="132"/>
      <c r="F320" s="132"/>
      <c r="G320" s="132"/>
      <c r="H320" s="133"/>
    </row>
    <row r="321" spans="2:8">
      <c r="B321" s="128" t="s">
        <v>1</v>
      </c>
      <c r="C321" s="129"/>
      <c r="D321" s="130"/>
      <c r="E321" s="33" t="s">
        <v>90</v>
      </c>
      <c r="F321" s="33" t="s">
        <v>87</v>
      </c>
      <c r="G321" s="70" t="s">
        <v>63</v>
      </c>
      <c r="H321" s="37" t="s">
        <v>18</v>
      </c>
    </row>
    <row r="322" spans="2:8">
      <c r="B322" s="125" t="s">
        <v>123</v>
      </c>
      <c r="C322" s="126"/>
      <c r="D322" s="127"/>
      <c r="E322" s="26" t="s">
        <v>100</v>
      </c>
      <c r="F322" s="26">
        <v>8.4000000000000005E-2</v>
      </c>
      <c r="G322" s="71">
        <v>960000</v>
      </c>
      <c r="H322" s="38">
        <f>F322*G322</f>
        <v>80640</v>
      </c>
    </row>
    <row r="323" spans="2:8">
      <c r="B323" s="125"/>
      <c r="C323" s="126"/>
      <c r="D323" s="127"/>
      <c r="E323" s="26"/>
      <c r="F323" s="26"/>
      <c r="G323" s="71"/>
      <c r="H323" s="38">
        <f t="shared" ref="H323:H324" si="39">F323*G323</f>
        <v>0</v>
      </c>
    </row>
    <row r="324" spans="2:8">
      <c r="B324" s="125"/>
      <c r="C324" s="126"/>
      <c r="D324" s="127"/>
      <c r="E324" s="26"/>
      <c r="F324" s="26"/>
      <c r="G324" s="71"/>
      <c r="H324" s="38">
        <f t="shared" si="39"/>
        <v>0</v>
      </c>
    </row>
    <row r="325" spans="2:8">
      <c r="B325" s="35"/>
      <c r="C325" s="28"/>
      <c r="D325" s="28"/>
      <c r="E325" s="28"/>
      <c r="F325" s="28"/>
      <c r="G325" s="70" t="s">
        <v>103</v>
      </c>
      <c r="H325" s="41">
        <f>SUM(H322:H324)</f>
        <v>80640</v>
      </c>
    </row>
    <row r="326" spans="2:8">
      <c r="B326" s="35"/>
      <c r="C326" s="28"/>
      <c r="D326" s="28"/>
      <c r="E326" s="28"/>
      <c r="F326" s="28"/>
      <c r="G326" s="72"/>
      <c r="H326" s="36"/>
    </row>
    <row r="327" spans="2:8">
      <c r="B327" s="131" t="s">
        <v>104</v>
      </c>
      <c r="C327" s="132"/>
      <c r="D327" s="132"/>
      <c r="E327" s="132"/>
      <c r="F327" s="132"/>
      <c r="G327" s="132"/>
      <c r="H327" s="133"/>
    </row>
    <row r="328" spans="2:8">
      <c r="B328" s="128" t="s">
        <v>1</v>
      </c>
      <c r="C328" s="129"/>
      <c r="D328" s="130"/>
      <c r="E328" s="33" t="s">
        <v>90</v>
      </c>
      <c r="F328" s="33" t="s">
        <v>87</v>
      </c>
      <c r="G328" s="70" t="s">
        <v>63</v>
      </c>
      <c r="H328" s="37" t="s">
        <v>18</v>
      </c>
    </row>
    <row r="329" spans="2:8">
      <c r="B329" s="125" t="s">
        <v>105</v>
      </c>
      <c r="C329" s="126"/>
      <c r="D329" s="127"/>
      <c r="E329" s="26"/>
      <c r="F329" s="43">
        <v>2</v>
      </c>
      <c r="G329" s="71">
        <v>1000</v>
      </c>
      <c r="H329" s="38">
        <f t="shared" ref="H329:H332" si="40">F329*G329</f>
        <v>2000</v>
      </c>
    </row>
    <row r="330" spans="2:8">
      <c r="B330" s="125"/>
      <c r="C330" s="126"/>
      <c r="D330" s="127"/>
      <c r="E330" s="26"/>
      <c r="F330" s="26"/>
      <c r="G330" s="71"/>
      <c r="H330" s="38">
        <f t="shared" si="40"/>
        <v>0</v>
      </c>
    </row>
    <row r="331" spans="2:8">
      <c r="B331" s="125"/>
      <c r="C331" s="126"/>
      <c r="D331" s="127"/>
      <c r="E331" s="26"/>
      <c r="F331" s="26"/>
      <c r="G331" s="71"/>
      <c r="H331" s="38">
        <f t="shared" si="40"/>
        <v>0</v>
      </c>
    </row>
    <row r="332" spans="2:8">
      <c r="B332" s="125"/>
      <c r="C332" s="126"/>
      <c r="D332" s="127"/>
      <c r="E332" s="26"/>
      <c r="F332" s="26"/>
      <c r="G332" s="71"/>
      <c r="H332" s="38">
        <f t="shared" si="40"/>
        <v>0</v>
      </c>
    </row>
    <row r="333" spans="2:8">
      <c r="B333" s="35"/>
      <c r="C333" s="28"/>
      <c r="D333" s="28"/>
      <c r="E333" s="28"/>
      <c r="F333" s="28"/>
      <c r="G333" s="70" t="s">
        <v>103</v>
      </c>
      <c r="H333" s="41">
        <f>SUM(H329:H332)</f>
        <v>2000</v>
      </c>
    </row>
    <row r="334" spans="2:8">
      <c r="B334" s="35"/>
      <c r="C334" s="28"/>
      <c r="D334" s="28"/>
      <c r="E334" s="28"/>
      <c r="F334" s="28"/>
      <c r="G334" s="72"/>
      <c r="H334" s="36"/>
    </row>
    <row r="335" spans="2:8">
      <c r="B335" s="35"/>
      <c r="C335" s="28"/>
      <c r="D335" s="28"/>
      <c r="E335" s="28"/>
      <c r="F335" s="28"/>
      <c r="G335" s="72"/>
      <c r="H335" s="36"/>
    </row>
    <row r="336" spans="2:8">
      <c r="B336" s="35"/>
      <c r="C336" s="28"/>
      <c r="D336" s="28"/>
      <c r="E336" s="28"/>
      <c r="F336" s="28"/>
      <c r="G336" s="74" t="s">
        <v>49</v>
      </c>
      <c r="H336" s="44">
        <f>H301+H310+H318+H325+H333</f>
        <v>89155.292000000001</v>
      </c>
    </row>
    <row r="337" spans="2:8" ht="15" thickBot="1">
      <c r="B337" s="45"/>
      <c r="C337" s="46"/>
      <c r="D337" s="46"/>
      <c r="E337" s="46"/>
      <c r="F337" s="46"/>
      <c r="G337" s="76"/>
      <c r="H337" s="47"/>
    </row>
    <row r="338" spans="2:8" s="60" customFormat="1">
      <c r="G338" s="77"/>
    </row>
    <row r="339" spans="2:8" s="60" customFormat="1" ht="15" thickBot="1">
      <c r="G339" s="77"/>
    </row>
    <row r="340" spans="2:8">
      <c r="B340" s="141" t="s">
        <v>81</v>
      </c>
      <c r="C340" s="142"/>
      <c r="D340" s="143" t="s">
        <v>27</v>
      </c>
      <c r="E340" s="144"/>
      <c r="F340" s="144"/>
      <c r="G340" s="144"/>
      <c r="H340" s="145"/>
    </row>
    <row r="341" spans="2:8">
      <c r="B341" s="146" t="s">
        <v>30</v>
      </c>
      <c r="C341" s="147"/>
      <c r="D341" s="147"/>
      <c r="E341" s="147"/>
      <c r="F341" s="147"/>
      <c r="G341" s="147"/>
      <c r="H341" s="148"/>
    </row>
    <row r="342" spans="2:8">
      <c r="B342" s="32" t="s">
        <v>83</v>
      </c>
      <c r="C342" s="26"/>
      <c r="D342" s="28"/>
      <c r="E342" s="28"/>
      <c r="F342" s="28"/>
      <c r="G342" s="70" t="s">
        <v>84</v>
      </c>
      <c r="H342" s="34" t="s">
        <v>29</v>
      </c>
    </row>
    <row r="343" spans="2:8">
      <c r="B343" s="35"/>
      <c r="C343" s="28"/>
      <c r="D343" s="28"/>
      <c r="E343" s="28"/>
      <c r="F343" s="28"/>
      <c r="G343" s="70" t="s">
        <v>85</v>
      </c>
      <c r="H343" s="48">
        <v>291.7</v>
      </c>
    </row>
    <row r="344" spans="2:8">
      <c r="B344" s="131" t="s">
        <v>86</v>
      </c>
      <c r="C344" s="132"/>
      <c r="D344" s="132"/>
      <c r="E344" s="132"/>
      <c r="F344" s="132"/>
      <c r="G344" s="132"/>
      <c r="H344" s="133"/>
    </row>
    <row r="345" spans="2:8">
      <c r="B345" s="128" t="s">
        <v>1</v>
      </c>
      <c r="C345" s="129"/>
      <c r="D345" s="130"/>
      <c r="E345" s="33" t="s">
        <v>84</v>
      </c>
      <c r="F345" s="33" t="s">
        <v>87</v>
      </c>
      <c r="G345" s="70" t="s">
        <v>63</v>
      </c>
      <c r="H345" s="37" t="s">
        <v>18</v>
      </c>
    </row>
    <row r="346" spans="2:8">
      <c r="B346" s="125" t="s">
        <v>124</v>
      </c>
      <c r="C346" s="126"/>
      <c r="D346" s="127"/>
      <c r="E346" s="26" t="s">
        <v>120</v>
      </c>
      <c r="F346" s="26">
        <v>5.0999999999999997E-2</v>
      </c>
      <c r="G346" s="71">
        <v>304000</v>
      </c>
      <c r="H346" s="38">
        <f>F346*G346</f>
        <v>15503.999999999998</v>
      </c>
    </row>
    <row r="347" spans="2:8">
      <c r="B347" s="125"/>
      <c r="C347" s="126"/>
      <c r="D347" s="127"/>
      <c r="E347" s="26"/>
      <c r="F347" s="26"/>
      <c r="G347" s="71"/>
      <c r="H347" s="38">
        <f t="shared" ref="H347:H348" si="41">F347*G347</f>
        <v>0</v>
      </c>
    </row>
    <row r="348" spans="2:8">
      <c r="B348" s="125"/>
      <c r="C348" s="126"/>
      <c r="D348" s="127"/>
      <c r="E348" s="26"/>
      <c r="F348" s="26"/>
      <c r="G348" s="71"/>
      <c r="H348" s="38">
        <f t="shared" si="41"/>
        <v>0</v>
      </c>
    </row>
    <row r="349" spans="2:8">
      <c r="B349" s="39"/>
      <c r="C349" s="40"/>
      <c r="D349" s="40"/>
      <c r="E349" s="28"/>
      <c r="F349" s="28"/>
      <c r="G349" s="70" t="s">
        <v>88</v>
      </c>
      <c r="H349" s="41">
        <f>SUM(H346:H348)</f>
        <v>15503.999999999998</v>
      </c>
    </row>
    <row r="350" spans="2:8">
      <c r="B350" s="35"/>
      <c r="C350" s="28"/>
      <c r="D350" s="28"/>
      <c r="E350" s="28"/>
      <c r="F350" s="28"/>
      <c r="G350" s="72"/>
      <c r="H350" s="36"/>
    </row>
    <row r="351" spans="2:8">
      <c r="B351" s="131" t="s">
        <v>89</v>
      </c>
      <c r="C351" s="132"/>
      <c r="D351" s="132"/>
      <c r="E351" s="132"/>
      <c r="F351" s="132"/>
      <c r="G351" s="132"/>
      <c r="H351" s="133"/>
    </row>
    <row r="352" spans="2:8">
      <c r="B352" s="128" t="s">
        <v>1</v>
      </c>
      <c r="C352" s="129"/>
      <c r="D352" s="130"/>
      <c r="E352" s="33" t="s">
        <v>90</v>
      </c>
      <c r="F352" s="33" t="s">
        <v>87</v>
      </c>
      <c r="G352" s="70" t="s">
        <v>63</v>
      </c>
      <c r="H352" s="37" t="s">
        <v>18</v>
      </c>
    </row>
    <row r="353" spans="2:8">
      <c r="B353" s="125" t="s">
        <v>125</v>
      </c>
      <c r="C353" s="126"/>
      <c r="D353" s="127"/>
      <c r="E353" s="26" t="s">
        <v>29</v>
      </c>
      <c r="F353" s="42">
        <v>1.3</v>
      </c>
      <c r="G353" s="73">
        <v>48495</v>
      </c>
      <c r="H353" s="38">
        <f>F353*G353</f>
        <v>63043.5</v>
      </c>
    </row>
    <row r="354" spans="2:8">
      <c r="B354" s="125"/>
      <c r="C354" s="126"/>
      <c r="D354" s="127"/>
      <c r="E354" s="26"/>
      <c r="F354" s="42"/>
      <c r="G354" s="73"/>
      <c r="H354" s="38">
        <f t="shared" ref="H354:H357" si="42">F354*G354</f>
        <v>0</v>
      </c>
    </row>
    <row r="355" spans="2:8">
      <c r="B355" s="125"/>
      <c r="C355" s="126"/>
      <c r="D355" s="127"/>
      <c r="E355" s="26"/>
      <c r="F355" s="42"/>
      <c r="G355" s="73"/>
      <c r="H355" s="38">
        <f t="shared" si="42"/>
        <v>0</v>
      </c>
    </row>
    <row r="356" spans="2:8">
      <c r="B356" s="125"/>
      <c r="C356" s="126"/>
      <c r="D356" s="127"/>
      <c r="E356" s="26"/>
      <c r="F356" s="42"/>
      <c r="G356" s="73"/>
      <c r="H356" s="38">
        <f t="shared" si="42"/>
        <v>0</v>
      </c>
    </row>
    <row r="357" spans="2:8">
      <c r="B357" s="125"/>
      <c r="C357" s="126"/>
      <c r="D357" s="127"/>
      <c r="E357" s="26"/>
      <c r="F357" s="42"/>
      <c r="G357" s="73"/>
      <c r="H357" s="38">
        <f t="shared" si="42"/>
        <v>0</v>
      </c>
    </row>
    <row r="358" spans="2:8">
      <c r="B358" s="35"/>
      <c r="C358" s="28"/>
      <c r="D358" s="28"/>
      <c r="E358" s="28"/>
      <c r="F358" s="28"/>
      <c r="G358" s="70" t="s">
        <v>97</v>
      </c>
      <c r="H358" s="41">
        <f>SUM(H353:H357)</f>
        <v>63043.5</v>
      </c>
    </row>
    <row r="359" spans="2:8">
      <c r="B359" s="35"/>
      <c r="C359" s="28"/>
      <c r="D359" s="28"/>
      <c r="E359" s="28"/>
      <c r="F359" s="28"/>
      <c r="G359" s="72"/>
      <c r="H359" s="36"/>
    </row>
    <row r="360" spans="2:8">
      <c r="B360" s="131" t="s">
        <v>98</v>
      </c>
      <c r="C360" s="132"/>
      <c r="D360" s="132"/>
      <c r="E360" s="132"/>
      <c r="F360" s="132"/>
      <c r="G360" s="132"/>
      <c r="H360" s="133"/>
    </row>
    <row r="361" spans="2:8">
      <c r="B361" s="128" t="s">
        <v>1</v>
      </c>
      <c r="C361" s="129"/>
      <c r="D361" s="130"/>
      <c r="E361" s="33" t="s">
        <v>90</v>
      </c>
      <c r="F361" s="33" t="s">
        <v>87</v>
      </c>
      <c r="G361" s="70" t="s">
        <v>63</v>
      </c>
      <c r="H361" s="37" t="s">
        <v>18</v>
      </c>
    </row>
    <row r="362" spans="2:8">
      <c r="B362" s="125" t="s">
        <v>99</v>
      </c>
      <c r="C362" s="126"/>
      <c r="D362" s="127"/>
      <c r="E362" s="26" t="s">
        <v>100</v>
      </c>
      <c r="F362" s="26">
        <v>5.0999999999999997E-2</v>
      </c>
      <c r="G362" s="71">
        <v>77563</v>
      </c>
      <c r="H362" s="38">
        <f t="shared" ref="H362:H365" si="43">F362*G362</f>
        <v>3955.7129999999997</v>
      </c>
    </row>
    <row r="363" spans="2:8">
      <c r="B363" s="125"/>
      <c r="C363" s="126"/>
      <c r="D363" s="127"/>
      <c r="E363" s="26"/>
      <c r="F363" s="26"/>
      <c r="G363" s="71"/>
      <c r="H363" s="38">
        <f t="shared" si="43"/>
        <v>0</v>
      </c>
    </row>
    <row r="364" spans="2:8">
      <c r="B364" s="125"/>
      <c r="C364" s="126"/>
      <c r="D364" s="127"/>
      <c r="E364" s="26"/>
      <c r="F364" s="26"/>
      <c r="G364" s="71"/>
      <c r="H364" s="38">
        <f t="shared" si="43"/>
        <v>0</v>
      </c>
    </row>
    <row r="365" spans="2:8">
      <c r="B365" s="125"/>
      <c r="C365" s="126"/>
      <c r="D365" s="127"/>
      <c r="E365" s="26"/>
      <c r="F365" s="26"/>
      <c r="G365" s="71"/>
      <c r="H365" s="38">
        <f t="shared" si="43"/>
        <v>0</v>
      </c>
    </row>
    <row r="366" spans="2:8">
      <c r="B366" s="35"/>
      <c r="C366" s="28"/>
      <c r="D366" s="28"/>
      <c r="E366" s="28"/>
      <c r="F366" s="28"/>
      <c r="G366" s="70" t="s">
        <v>101</v>
      </c>
      <c r="H366" s="41">
        <f>SUM(H362:H365)</f>
        <v>3955.7129999999997</v>
      </c>
    </row>
    <row r="367" spans="2:8">
      <c r="B367" s="35"/>
      <c r="C367" s="28"/>
      <c r="D367" s="28"/>
      <c r="E367" s="28"/>
      <c r="F367" s="28"/>
      <c r="G367" s="72"/>
      <c r="H367" s="36"/>
    </row>
    <row r="368" spans="2:8">
      <c r="B368" s="131" t="s">
        <v>102</v>
      </c>
      <c r="C368" s="132"/>
      <c r="D368" s="132"/>
      <c r="E368" s="132"/>
      <c r="F368" s="132"/>
      <c r="G368" s="132"/>
      <c r="H368" s="133"/>
    </row>
    <row r="369" spans="2:8">
      <c r="B369" s="128" t="s">
        <v>1</v>
      </c>
      <c r="C369" s="129"/>
      <c r="D369" s="130"/>
      <c r="E369" s="33" t="s">
        <v>90</v>
      </c>
      <c r="F369" s="33" t="s">
        <v>87</v>
      </c>
      <c r="G369" s="70" t="s">
        <v>63</v>
      </c>
      <c r="H369" s="37" t="s">
        <v>18</v>
      </c>
    </row>
    <row r="370" spans="2:8">
      <c r="B370" s="125"/>
      <c r="C370" s="126"/>
      <c r="D370" s="127"/>
      <c r="E370" s="26"/>
      <c r="F370" s="26"/>
      <c r="G370" s="71"/>
      <c r="H370" s="38">
        <f t="shared" ref="H370:H372" si="44">F370*G370</f>
        <v>0</v>
      </c>
    </row>
    <row r="371" spans="2:8">
      <c r="B371" s="125"/>
      <c r="C371" s="126"/>
      <c r="D371" s="127"/>
      <c r="E371" s="26"/>
      <c r="F371" s="26"/>
      <c r="G371" s="71"/>
      <c r="H371" s="38">
        <f t="shared" si="44"/>
        <v>0</v>
      </c>
    </row>
    <row r="372" spans="2:8">
      <c r="B372" s="125"/>
      <c r="C372" s="126"/>
      <c r="D372" s="127"/>
      <c r="E372" s="26"/>
      <c r="F372" s="26"/>
      <c r="G372" s="71"/>
      <c r="H372" s="38">
        <f t="shared" si="44"/>
        <v>0</v>
      </c>
    </row>
    <row r="373" spans="2:8">
      <c r="B373" s="35"/>
      <c r="C373" s="28"/>
      <c r="D373" s="28"/>
      <c r="E373" s="28"/>
      <c r="F373" s="28"/>
      <c r="G373" s="70" t="s">
        <v>103</v>
      </c>
      <c r="H373" s="41">
        <f>SUM(H370:H372)</f>
        <v>0</v>
      </c>
    </row>
    <row r="374" spans="2:8">
      <c r="B374" s="35"/>
      <c r="C374" s="28"/>
      <c r="D374" s="28"/>
      <c r="E374" s="28"/>
      <c r="F374" s="28"/>
      <c r="G374" s="72"/>
      <c r="H374" s="36"/>
    </row>
    <row r="375" spans="2:8">
      <c r="B375" s="131" t="s">
        <v>104</v>
      </c>
      <c r="C375" s="132"/>
      <c r="D375" s="132"/>
      <c r="E375" s="132"/>
      <c r="F375" s="132"/>
      <c r="G375" s="132"/>
      <c r="H375" s="133"/>
    </row>
    <row r="376" spans="2:8">
      <c r="B376" s="128" t="s">
        <v>1</v>
      </c>
      <c r="C376" s="129"/>
      <c r="D376" s="130"/>
      <c r="E376" s="33" t="s">
        <v>90</v>
      </c>
      <c r="F376" s="33" t="s">
        <v>87</v>
      </c>
      <c r="G376" s="70" t="s">
        <v>63</v>
      </c>
      <c r="H376" s="37" t="s">
        <v>18</v>
      </c>
    </row>
    <row r="377" spans="2:8">
      <c r="B377" s="125" t="s">
        <v>105</v>
      </c>
      <c r="C377" s="126"/>
      <c r="D377" s="127"/>
      <c r="E377" s="26"/>
      <c r="F377" s="43">
        <v>2</v>
      </c>
      <c r="G377" s="71">
        <v>1000</v>
      </c>
      <c r="H377" s="38">
        <f t="shared" ref="H377:H380" si="45">F377*G377</f>
        <v>2000</v>
      </c>
    </row>
    <row r="378" spans="2:8">
      <c r="B378" s="125"/>
      <c r="C378" s="126"/>
      <c r="D378" s="127"/>
      <c r="E378" s="26"/>
      <c r="F378" s="26"/>
      <c r="G378" s="71"/>
      <c r="H378" s="38">
        <f t="shared" si="45"/>
        <v>0</v>
      </c>
    </row>
    <row r="379" spans="2:8">
      <c r="B379" s="125"/>
      <c r="C379" s="126"/>
      <c r="D379" s="127"/>
      <c r="E379" s="26"/>
      <c r="F379" s="26"/>
      <c r="G379" s="71"/>
      <c r="H379" s="38">
        <f t="shared" si="45"/>
        <v>0</v>
      </c>
    </row>
    <row r="380" spans="2:8">
      <c r="B380" s="125"/>
      <c r="C380" s="126"/>
      <c r="D380" s="127"/>
      <c r="E380" s="26"/>
      <c r="F380" s="26"/>
      <c r="G380" s="71"/>
      <c r="H380" s="38">
        <f t="shared" si="45"/>
        <v>0</v>
      </c>
    </row>
    <row r="381" spans="2:8">
      <c r="B381" s="35"/>
      <c r="C381" s="28"/>
      <c r="D381" s="28"/>
      <c r="E381" s="28"/>
      <c r="F381" s="28"/>
      <c r="G381" s="70" t="s">
        <v>103</v>
      </c>
      <c r="H381" s="41">
        <f>SUM(H377:H380)</f>
        <v>2000</v>
      </c>
    </row>
    <row r="382" spans="2:8">
      <c r="B382" s="35"/>
      <c r="C382" s="28"/>
      <c r="D382" s="28"/>
      <c r="E382" s="28"/>
      <c r="F382" s="28"/>
      <c r="G382" s="72"/>
      <c r="H382" s="36"/>
    </row>
    <row r="383" spans="2:8">
      <c r="B383" s="35"/>
      <c r="C383" s="28"/>
      <c r="D383" s="28"/>
      <c r="E383" s="28"/>
      <c r="F383" s="28"/>
      <c r="G383" s="72"/>
      <c r="H383" s="36"/>
    </row>
    <row r="384" spans="2:8">
      <c r="B384" s="35"/>
      <c r="C384" s="28"/>
      <c r="D384" s="28"/>
      <c r="E384" s="28"/>
      <c r="F384" s="28"/>
      <c r="G384" s="74" t="s">
        <v>49</v>
      </c>
      <c r="H384" s="44">
        <f>H349+H358+H366+H373+H381</f>
        <v>84503.213000000003</v>
      </c>
    </row>
    <row r="385" spans="2:8" ht="15" thickBot="1">
      <c r="B385" s="45"/>
      <c r="C385" s="46"/>
      <c r="D385" s="46"/>
      <c r="E385" s="46"/>
      <c r="F385" s="46"/>
      <c r="G385" s="76"/>
      <c r="H385" s="47"/>
    </row>
    <row r="386" spans="2:8" s="60" customFormat="1">
      <c r="G386" s="77"/>
    </row>
    <row r="387" spans="2:8" s="60" customFormat="1" ht="15" thickBot="1">
      <c r="G387" s="77"/>
    </row>
    <row r="388" spans="2:8">
      <c r="B388" s="141" t="s">
        <v>81</v>
      </c>
      <c r="C388" s="142"/>
      <c r="D388" s="143" t="s">
        <v>126</v>
      </c>
      <c r="E388" s="144"/>
      <c r="F388" s="144"/>
      <c r="G388" s="144"/>
      <c r="H388" s="145"/>
    </row>
    <row r="389" spans="2:8">
      <c r="B389" s="146" t="s">
        <v>32</v>
      </c>
      <c r="C389" s="147"/>
      <c r="D389" s="147"/>
      <c r="E389" s="147"/>
      <c r="F389" s="147"/>
      <c r="G389" s="147"/>
      <c r="H389" s="148"/>
    </row>
    <row r="390" spans="2:8">
      <c r="B390" s="32" t="s">
        <v>83</v>
      </c>
      <c r="C390" s="26"/>
      <c r="D390" s="28"/>
      <c r="E390" s="28"/>
      <c r="F390" s="28"/>
      <c r="G390" s="70" t="s">
        <v>84</v>
      </c>
      <c r="H390" s="34" t="s">
        <v>29</v>
      </c>
    </row>
    <row r="391" spans="2:8">
      <c r="B391" s="35"/>
      <c r="C391" s="28"/>
      <c r="D391" s="28"/>
      <c r="E391" s="28"/>
      <c r="F391" s="28"/>
      <c r="G391" s="70" t="s">
        <v>85</v>
      </c>
      <c r="H391" s="61">
        <v>4.25</v>
      </c>
    </row>
    <row r="392" spans="2:8">
      <c r="B392" s="131" t="s">
        <v>86</v>
      </c>
      <c r="C392" s="132"/>
      <c r="D392" s="132"/>
      <c r="E392" s="132"/>
      <c r="F392" s="132"/>
      <c r="G392" s="132"/>
      <c r="H392" s="133"/>
    </row>
    <row r="393" spans="2:8">
      <c r="B393" s="128" t="s">
        <v>1</v>
      </c>
      <c r="C393" s="129"/>
      <c r="D393" s="130"/>
      <c r="E393" s="33" t="s">
        <v>84</v>
      </c>
      <c r="F393" s="33" t="s">
        <v>87</v>
      </c>
      <c r="G393" s="70" t="s">
        <v>63</v>
      </c>
      <c r="H393" s="37" t="s">
        <v>18</v>
      </c>
    </row>
    <row r="394" spans="2:8">
      <c r="B394" s="125"/>
      <c r="C394" s="126"/>
      <c r="D394" s="127"/>
      <c r="E394" s="26"/>
      <c r="F394" s="26"/>
      <c r="G394" s="71"/>
      <c r="H394" s="38">
        <f t="shared" ref="H394:H396" si="46">F394*G394</f>
        <v>0</v>
      </c>
    </row>
    <row r="395" spans="2:8">
      <c r="B395" s="125"/>
      <c r="C395" s="126"/>
      <c r="D395" s="127"/>
      <c r="E395" s="26"/>
      <c r="F395" s="26"/>
      <c r="G395" s="71"/>
      <c r="H395" s="38">
        <f t="shared" si="46"/>
        <v>0</v>
      </c>
    </row>
    <row r="396" spans="2:8">
      <c r="B396" s="125"/>
      <c r="C396" s="126"/>
      <c r="D396" s="127"/>
      <c r="E396" s="26"/>
      <c r="F396" s="26"/>
      <c r="G396" s="71"/>
      <c r="H396" s="38">
        <f t="shared" si="46"/>
        <v>0</v>
      </c>
    </row>
    <row r="397" spans="2:8">
      <c r="B397" s="39"/>
      <c r="C397" s="40"/>
      <c r="D397" s="40"/>
      <c r="E397" s="28"/>
      <c r="F397" s="28"/>
      <c r="G397" s="70" t="s">
        <v>88</v>
      </c>
      <c r="H397" s="41">
        <f>SUM(H394:H396)</f>
        <v>0</v>
      </c>
    </row>
    <row r="398" spans="2:8">
      <c r="B398" s="35"/>
      <c r="C398" s="28"/>
      <c r="D398" s="28"/>
      <c r="E398" s="28"/>
      <c r="F398" s="28"/>
      <c r="G398" s="72"/>
      <c r="H398" s="36"/>
    </row>
    <row r="399" spans="2:8">
      <c r="B399" s="131" t="s">
        <v>89</v>
      </c>
      <c r="C399" s="132"/>
      <c r="D399" s="132"/>
      <c r="E399" s="132"/>
      <c r="F399" s="132"/>
      <c r="G399" s="132"/>
      <c r="H399" s="133"/>
    </row>
    <row r="400" spans="2:8">
      <c r="B400" s="128" t="s">
        <v>1</v>
      </c>
      <c r="C400" s="129"/>
      <c r="D400" s="130"/>
      <c r="E400" s="33" t="s">
        <v>90</v>
      </c>
      <c r="F400" s="33" t="s">
        <v>87</v>
      </c>
      <c r="G400" s="70" t="s">
        <v>63</v>
      </c>
      <c r="H400" s="37" t="s">
        <v>18</v>
      </c>
    </row>
    <row r="401" spans="2:8">
      <c r="B401" s="125" t="s">
        <v>127</v>
      </c>
      <c r="C401" s="126"/>
      <c r="D401" s="127"/>
      <c r="E401" s="26" t="s">
        <v>29</v>
      </c>
      <c r="F401" s="42">
        <v>1</v>
      </c>
      <c r="G401" s="73">
        <v>345479</v>
      </c>
      <c r="H401" s="38">
        <f>F401*G401</f>
        <v>345479</v>
      </c>
    </row>
    <row r="402" spans="2:8" ht="14.45" customHeight="1">
      <c r="B402" s="125"/>
      <c r="C402" s="126"/>
      <c r="D402" s="127"/>
      <c r="E402" s="26"/>
      <c r="F402" s="42"/>
      <c r="G402" s="73"/>
      <c r="H402" s="38">
        <f t="shared" ref="H402:H405" si="47">F402*G402</f>
        <v>0</v>
      </c>
    </row>
    <row r="403" spans="2:8" ht="14.45" customHeight="1">
      <c r="B403" s="125"/>
      <c r="C403" s="126"/>
      <c r="D403" s="127"/>
      <c r="E403" s="26"/>
      <c r="F403" s="42"/>
      <c r="G403" s="73"/>
      <c r="H403" s="38">
        <f t="shared" si="47"/>
        <v>0</v>
      </c>
    </row>
    <row r="404" spans="2:8" ht="14.45" customHeight="1">
      <c r="B404" s="125"/>
      <c r="C404" s="126"/>
      <c r="D404" s="127"/>
      <c r="E404" s="26"/>
      <c r="F404" s="42"/>
      <c r="G404" s="73"/>
      <c r="H404" s="38">
        <f t="shared" si="47"/>
        <v>0</v>
      </c>
    </row>
    <row r="405" spans="2:8" ht="14.45" customHeight="1">
      <c r="B405" s="125"/>
      <c r="C405" s="126"/>
      <c r="D405" s="127"/>
      <c r="E405" s="26"/>
      <c r="F405" s="42"/>
      <c r="G405" s="73"/>
      <c r="H405" s="38">
        <f t="shared" si="47"/>
        <v>0</v>
      </c>
    </row>
    <row r="406" spans="2:8">
      <c r="B406" s="35"/>
      <c r="C406" s="28"/>
      <c r="D406" s="28"/>
      <c r="E406" s="28"/>
      <c r="F406" s="28"/>
      <c r="G406" s="70" t="s">
        <v>97</v>
      </c>
      <c r="H406" s="41">
        <f>SUM(H401:H405)</f>
        <v>345479</v>
      </c>
    </row>
    <row r="407" spans="2:8">
      <c r="B407" s="35"/>
      <c r="C407" s="28"/>
      <c r="D407" s="28"/>
      <c r="E407" s="28"/>
      <c r="F407" s="28"/>
      <c r="G407" s="72"/>
      <c r="H407" s="36"/>
    </row>
    <row r="408" spans="2:8">
      <c r="B408" s="131" t="s">
        <v>98</v>
      </c>
      <c r="C408" s="132"/>
      <c r="D408" s="132"/>
      <c r="E408" s="132"/>
      <c r="F408" s="132"/>
      <c r="G408" s="132"/>
      <c r="H408" s="133"/>
    </row>
    <row r="409" spans="2:8">
      <c r="B409" s="128" t="s">
        <v>1</v>
      </c>
      <c r="C409" s="129"/>
      <c r="D409" s="130"/>
      <c r="E409" s="33" t="s">
        <v>90</v>
      </c>
      <c r="F409" s="33" t="s">
        <v>87</v>
      </c>
      <c r="G409" s="70" t="s">
        <v>63</v>
      </c>
      <c r="H409" s="37" t="s">
        <v>18</v>
      </c>
    </row>
    <row r="410" spans="2:8">
      <c r="B410" s="125" t="s">
        <v>128</v>
      </c>
      <c r="C410" s="126"/>
      <c r="D410" s="127"/>
      <c r="E410" s="26" t="s">
        <v>100</v>
      </c>
      <c r="F410" s="26">
        <v>2</v>
      </c>
      <c r="G410" s="92">
        <v>95662</v>
      </c>
      <c r="H410" s="38">
        <f>F410*G410</f>
        <v>191324</v>
      </c>
    </row>
    <row r="411" spans="2:8">
      <c r="B411" s="125"/>
      <c r="C411" s="126"/>
      <c r="D411" s="127"/>
      <c r="E411" s="26"/>
      <c r="F411" s="26"/>
      <c r="G411" s="71"/>
      <c r="H411" s="38">
        <f t="shared" ref="H411:H413" si="48">F411*G411</f>
        <v>0</v>
      </c>
    </row>
    <row r="412" spans="2:8">
      <c r="B412" s="125"/>
      <c r="C412" s="126"/>
      <c r="D412" s="127"/>
      <c r="E412" s="26"/>
      <c r="F412" s="26"/>
      <c r="G412" s="71"/>
      <c r="H412" s="38">
        <f t="shared" si="48"/>
        <v>0</v>
      </c>
    </row>
    <row r="413" spans="2:8">
      <c r="B413" s="125"/>
      <c r="C413" s="126"/>
      <c r="D413" s="127"/>
      <c r="E413" s="26"/>
      <c r="F413" s="26"/>
      <c r="G413" s="71"/>
      <c r="H413" s="38">
        <f t="shared" si="48"/>
        <v>0</v>
      </c>
    </row>
    <row r="414" spans="2:8">
      <c r="B414" s="35"/>
      <c r="C414" s="28"/>
      <c r="D414" s="28"/>
      <c r="E414" s="28"/>
      <c r="F414" s="28"/>
      <c r="G414" s="70" t="s">
        <v>101</v>
      </c>
      <c r="H414" s="41">
        <f>SUM(H410:H413)</f>
        <v>191324</v>
      </c>
    </row>
    <row r="415" spans="2:8">
      <c r="B415" s="35"/>
      <c r="C415" s="28"/>
      <c r="D415" s="28"/>
      <c r="E415" s="28"/>
      <c r="F415" s="28"/>
      <c r="G415" s="72"/>
      <c r="H415" s="36"/>
    </row>
    <row r="416" spans="2:8">
      <c r="B416" s="131" t="s">
        <v>102</v>
      </c>
      <c r="C416" s="132"/>
      <c r="D416" s="132"/>
      <c r="E416" s="132"/>
      <c r="F416" s="132"/>
      <c r="G416" s="132"/>
      <c r="H416" s="133"/>
    </row>
    <row r="417" spans="2:8">
      <c r="B417" s="128" t="s">
        <v>1</v>
      </c>
      <c r="C417" s="129"/>
      <c r="D417" s="130"/>
      <c r="E417" s="33" t="s">
        <v>90</v>
      </c>
      <c r="F417" s="33" t="s">
        <v>87</v>
      </c>
      <c r="G417" s="70" t="s">
        <v>63</v>
      </c>
      <c r="H417" s="37" t="s">
        <v>18</v>
      </c>
    </row>
    <row r="418" spans="2:8">
      <c r="B418" s="125"/>
      <c r="C418" s="126"/>
      <c r="D418" s="127"/>
      <c r="E418" s="26"/>
      <c r="F418" s="26"/>
      <c r="G418" s="71"/>
      <c r="H418" s="38">
        <f t="shared" ref="H418:H420" si="49">F418*G418</f>
        <v>0</v>
      </c>
    </row>
    <row r="419" spans="2:8">
      <c r="B419" s="125"/>
      <c r="C419" s="126"/>
      <c r="D419" s="127"/>
      <c r="E419" s="26"/>
      <c r="F419" s="26"/>
      <c r="G419" s="71"/>
      <c r="H419" s="38">
        <f t="shared" si="49"/>
        <v>0</v>
      </c>
    </row>
    <row r="420" spans="2:8">
      <c r="B420" s="125"/>
      <c r="C420" s="126"/>
      <c r="D420" s="127"/>
      <c r="E420" s="26"/>
      <c r="F420" s="26"/>
      <c r="G420" s="71"/>
      <c r="H420" s="38">
        <f t="shared" si="49"/>
        <v>0</v>
      </c>
    </row>
    <row r="421" spans="2:8">
      <c r="B421" s="35"/>
      <c r="C421" s="28"/>
      <c r="D421" s="28"/>
      <c r="E421" s="28"/>
      <c r="F421" s="28"/>
      <c r="G421" s="70" t="s">
        <v>103</v>
      </c>
      <c r="H421" s="41">
        <f>SUM(H418:H420)</f>
        <v>0</v>
      </c>
    </row>
    <row r="422" spans="2:8">
      <c r="B422" s="35"/>
      <c r="C422" s="28"/>
      <c r="D422" s="28"/>
      <c r="E422" s="28"/>
      <c r="F422" s="28"/>
      <c r="G422" s="72"/>
      <c r="H422" s="36"/>
    </row>
    <row r="423" spans="2:8">
      <c r="B423" s="131" t="s">
        <v>104</v>
      </c>
      <c r="C423" s="132"/>
      <c r="D423" s="132"/>
      <c r="E423" s="132"/>
      <c r="F423" s="132"/>
      <c r="G423" s="132"/>
      <c r="H423" s="133"/>
    </row>
    <row r="424" spans="2:8">
      <c r="B424" s="128" t="s">
        <v>1</v>
      </c>
      <c r="C424" s="129"/>
      <c r="D424" s="130"/>
      <c r="E424" s="33" t="s">
        <v>90</v>
      </c>
      <c r="F424" s="33" t="s">
        <v>87</v>
      </c>
      <c r="G424" s="70" t="s">
        <v>63</v>
      </c>
      <c r="H424" s="37" t="s">
        <v>18</v>
      </c>
    </row>
    <row r="425" spans="2:8">
      <c r="B425" s="125" t="s">
        <v>105</v>
      </c>
      <c r="C425" s="126"/>
      <c r="D425" s="127"/>
      <c r="E425" s="26"/>
      <c r="F425" s="43">
        <v>2</v>
      </c>
      <c r="G425" s="71">
        <v>1000</v>
      </c>
      <c r="H425" s="38">
        <f t="shared" ref="H425:H428" si="50">F425*G425</f>
        <v>2000</v>
      </c>
    </row>
    <row r="426" spans="2:8">
      <c r="B426" s="125"/>
      <c r="C426" s="126"/>
      <c r="D426" s="127"/>
      <c r="E426" s="26"/>
      <c r="F426" s="26"/>
      <c r="G426" s="71"/>
      <c r="H426" s="38">
        <f t="shared" si="50"/>
        <v>0</v>
      </c>
    </row>
    <row r="427" spans="2:8">
      <c r="B427" s="125"/>
      <c r="C427" s="126"/>
      <c r="D427" s="127"/>
      <c r="E427" s="26"/>
      <c r="F427" s="26"/>
      <c r="G427" s="71"/>
      <c r="H427" s="38">
        <f t="shared" si="50"/>
        <v>0</v>
      </c>
    </row>
    <row r="428" spans="2:8">
      <c r="B428" s="125"/>
      <c r="C428" s="126"/>
      <c r="D428" s="127"/>
      <c r="E428" s="26"/>
      <c r="F428" s="26"/>
      <c r="G428" s="71"/>
      <c r="H428" s="38">
        <f t="shared" si="50"/>
        <v>0</v>
      </c>
    </row>
    <row r="429" spans="2:8">
      <c r="B429" s="35"/>
      <c r="C429" s="28"/>
      <c r="D429" s="28"/>
      <c r="E429" s="28"/>
      <c r="F429" s="28"/>
      <c r="G429" s="70" t="s">
        <v>103</v>
      </c>
      <c r="H429" s="41">
        <f>SUM(H425:H428)</f>
        <v>2000</v>
      </c>
    </row>
    <row r="430" spans="2:8">
      <c r="B430" s="35"/>
      <c r="C430" s="28"/>
      <c r="D430" s="28"/>
      <c r="E430" s="28"/>
      <c r="F430" s="28"/>
      <c r="G430" s="72"/>
      <c r="H430" s="36"/>
    </row>
    <row r="431" spans="2:8">
      <c r="B431" s="35"/>
      <c r="C431" s="28"/>
      <c r="D431" s="28"/>
      <c r="E431" s="28"/>
      <c r="F431" s="28"/>
      <c r="G431" s="72"/>
      <c r="H431" s="36"/>
    </row>
    <row r="432" spans="2:8">
      <c r="B432" s="35"/>
      <c r="C432" s="28"/>
      <c r="D432" s="28"/>
      <c r="E432" s="28"/>
      <c r="F432" s="28"/>
      <c r="G432" s="74" t="s">
        <v>49</v>
      </c>
      <c r="H432" s="44">
        <f>H397+H406+H414+H421+H429</f>
        <v>538803</v>
      </c>
    </row>
    <row r="433" spans="2:8" ht="15" thickBot="1">
      <c r="B433" s="45"/>
      <c r="C433" s="46"/>
      <c r="D433" s="46"/>
      <c r="E433" s="46"/>
      <c r="F433" s="46"/>
      <c r="G433" s="76"/>
      <c r="H433" s="47"/>
    </row>
    <row r="434" spans="2:8" s="60" customFormat="1">
      <c r="G434" s="77"/>
    </row>
    <row r="435" spans="2:8" s="60" customFormat="1" ht="15" thickBot="1">
      <c r="G435" s="77"/>
    </row>
    <row r="436" spans="2:8">
      <c r="B436" s="141" t="s">
        <v>81</v>
      </c>
      <c r="C436" s="142"/>
      <c r="D436" s="143" t="s">
        <v>126</v>
      </c>
      <c r="E436" s="144"/>
      <c r="F436" s="144"/>
      <c r="G436" s="144"/>
      <c r="H436" s="145"/>
    </row>
    <row r="437" spans="2:8">
      <c r="B437" s="146" t="s">
        <v>33</v>
      </c>
      <c r="C437" s="147"/>
      <c r="D437" s="147"/>
      <c r="E437" s="147"/>
      <c r="F437" s="147"/>
      <c r="G437" s="147"/>
      <c r="H437" s="148"/>
    </row>
    <row r="438" spans="2:8">
      <c r="B438" s="32" t="s">
        <v>83</v>
      </c>
      <c r="C438" s="26"/>
      <c r="D438" s="28"/>
      <c r="E438" s="28"/>
      <c r="F438" s="28"/>
      <c r="G438" s="70" t="s">
        <v>84</v>
      </c>
      <c r="H438" s="34" t="s">
        <v>29</v>
      </c>
    </row>
    <row r="439" spans="2:8">
      <c r="B439" s="35"/>
      <c r="C439" s="28"/>
      <c r="D439" s="28"/>
      <c r="E439" s="28"/>
      <c r="F439" s="28"/>
      <c r="G439" s="70" t="s">
        <v>85</v>
      </c>
      <c r="H439" s="48">
        <v>27.62</v>
      </c>
    </row>
    <row r="440" spans="2:8">
      <c r="B440" s="131" t="s">
        <v>86</v>
      </c>
      <c r="C440" s="132"/>
      <c r="D440" s="132"/>
      <c r="E440" s="132"/>
      <c r="F440" s="132"/>
      <c r="G440" s="132"/>
      <c r="H440" s="133"/>
    </row>
    <row r="441" spans="2:8">
      <c r="B441" s="128" t="s">
        <v>1</v>
      </c>
      <c r="C441" s="129"/>
      <c r="D441" s="130"/>
      <c r="E441" s="33" t="s">
        <v>84</v>
      </c>
      <c r="F441" s="33" t="s">
        <v>87</v>
      </c>
      <c r="G441" s="70" t="s">
        <v>63</v>
      </c>
      <c r="H441" s="37" t="s">
        <v>18</v>
      </c>
    </row>
    <row r="442" spans="2:8" ht="22.15" customHeight="1">
      <c r="B442" s="125" t="s">
        <v>129</v>
      </c>
      <c r="C442" s="126"/>
      <c r="D442" s="127"/>
      <c r="E442" s="26" t="s">
        <v>100</v>
      </c>
      <c r="F442" s="26">
        <v>0.42799999999999999</v>
      </c>
      <c r="G442" s="71">
        <v>33000</v>
      </c>
      <c r="H442" s="38">
        <f t="shared" ref="H442:H444" si="51">F442*G442</f>
        <v>14124</v>
      </c>
    </row>
    <row r="443" spans="2:8">
      <c r="B443" s="125"/>
      <c r="C443" s="126"/>
      <c r="D443" s="127"/>
      <c r="E443" s="26"/>
      <c r="F443" s="26"/>
      <c r="G443" s="71"/>
      <c r="H443" s="38">
        <f t="shared" si="51"/>
        <v>0</v>
      </c>
    </row>
    <row r="444" spans="2:8">
      <c r="B444" s="125"/>
      <c r="C444" s="126"/>
      <c r="D444" s="127"/>
      <c r="E444" s="26"/>
      <c r="F444" s="26"/>
      <c r="G444" s="71"/>
      <c r="H444" s="38">
        <f t="shared" si="51"/>
        <v>0</v>
      </c>
    </row>
    <row r="445" spans="2:8">
      <c r="B445" s="39"/>
      <c r="C445" s="40"/>
      <c r="D445" s="40"/>
      <c r="E445" s="28"/>
      <c r="F445" s="28"/>
      <c r="G445" s="70" t="s">
        <v>88</v>
      </c>
      <c r="H445" s="41">
        <f>SUM(H442:H444)</f>
        <v>14124</v>
      </c>
    </row>
    <row r="446" spans="2:8">
      <c r="B446" s="35"/>
      <c r="C446" s="28"/>
      <c r="D446" s="28"/>
      <c r="E446" s="28"/>
      <c r="F446" s="28"/>
      <c r="G446" s="72"/>
      <c r="H446" s="36"/>
    </row>
    <row r="447" spans="2:8">
      <c r="B447" s="131" t="s">
        <v>89</v>
      </c>
      <c r="C447" s="132"/>
      <c r="D447" s="132"/>
      <c r="E447" s="132"/>
      <c r="F447" s="132"/>
      <c r="G447" s="132"/>
      <c r="H447" s="133"/>
    </row>
    <row r="448" spans="2:8">
      <c r="B448" s="128" t="s">
        <v>1</v>
      </c>
      <c r="C448" s="129"/>
      <c r="D448" s="130"/>
      <c r="E448" s="33" t="s">
        <v>90</v>
      </c>
      <c r="F448" s="33" t="s">
        <v>87</v>
      </c>
      <c r="G448" s="70" t="s">
        <v>63</v>
      </c>
      <c r="H448" s="37" t="s">
        <v>18</v>
      </c>
    </row>
    <row r="449" spans="2:8" ht="14.45" customHeight="1">
      <c r="B449" s="134" t="str">
        <f ca="1">IF($B449="","",VLOOKUP($B449,[1]MATERIALES!$A$6:$D$1434,2,FALSE))</f>
        <v>CONCRETO DE 24 MPA (3500 PSI)</v>
      </c>
      <c r="C449" s="135"/>
      <c r="D449" s="135"/>
      <c r="E449" s="2" t="str">
        <f ca="1">IF($B449="","",VLOOKUP($B449,[1]MATERIALES!$A$6:$D$1434,3,FALSE))</f>
        <v>M3</v>
      </c>
      <c r="F449" s="2">
        <v>1.05</v>
      </c>
      <c r="G449" s="71">
        <v>447258</v>
      </c>
      <c r="H449" s="38">
        <f>G449*F449</f>
        <v>469620.9</v>
      </c>
    </row>
    <row r="450" spans="2:8">
      <c r="B450" s="136" t="str">
        <f ca="1">IF($B450="","",VLOOKUP($B450,[1]MATERIALES!$A$6:$D$365,2,FALSE))</f>
        <v>TABLA BURRA ORDINARIO 0.30 m</v>
      </c>
      <c r="C450" s="137"/>
      <c r="D450" s="137"/>
      <c r="E450" s="2" t="str">
        <f ca="1">IF($B450="","",VLOOKUP($B450,[1]MATERIALES!$A$6:$D$365,3,FALSE))</f>
        <v>ML</v>
      </c>
      <c r="F450" s="2">
        <v>2.86</v>
      </c>
      <c r="G450" s="71">
        <v>5252</v>
      </c>
      <c r="H450" s="38">
        <f t="shared" ref="H450:H453" si="52">G450*F450</f>
        <v>15020.72</v>
      </c>
    </row>
    <row r="451" spans="2:8">
      <c r="B451" s="136" t="str">
        <f ca="1">IF($B451="","",VLOOKUP($B451,[1]MATERIALES!$A$6:$D$365,2,FALSE))</f>
        <v>REPISA ORDINARIO</v>
      </c>
      <c r="C451" s="137"/>
      <c r="D451" s="137"/>
      <c r="E451" s="2" t="str">
        <f ca="1">IF($B451="","",VLOOKUP($B451,[1]MATERIALES!$A$6:$D$365,3,FALSE))</f>
        <v>ML</v>
      </c>
      <c r="F451" s="2">
        <v>6</v>
      </c>
      <c r="G451" s="71">
        <v>1812</v>
      </c>
      <c r="H451" s="38">
        <f t="shared" si="52"/>
        <v>10872</v>
      </c>
    </row>
    <row r="452" spans="2:8">
      <c r="B452" s="136" t="str">
        <f ca="1">IF($B452="","",VLOOKUP($B452,[1]MATERIALES!$A$6:$D$365,2,FALSE))</f>
        <v>VARA DE CLAVO</v>
      </c>
      <c r="C452" s="137"/>
      <c r="D452" s="137"/>
      <c r="E452" s="2" t="str">
        <f ca="1">IF($B452="","",VLOOKUP($B452,[1]MATERIALES!$A$6:$D$365,3,FALSE))</f>
        <v>ML</v>
      </c>
      <c r="F452" s="2">
        <v>0.9</v>
      </c>
      <c r="G452" s="71">
        <v>1617</v>
      </c>
      <c r="H452" s="38">
        <f t="shared" si="52"/>
        <v>1455.3</v>
      </c>
    </row>
    <row r="453" spans="2:8">
      <c r="B453" s="136" t="str">
        <f ca="1">IF($B453="","",VLOOKUP($B453,[1]MATERIALES!$A$6:$D$365,2,FALSE))</f>
        <v>PUNTILLA</v>
      </c>
      <c r="C453" s="137"/>
      <c r="D453" s="137"/>
      <c r="E453" s="2" t="str">
        <f ca="1">IF($B453="","",VLOOKUP($B453,[1]MATERIALES!$A$6:$D$365,3,FALSE))</f>
        <v>LB</v>
      </c>
      <c r="F453" s="2">
        <v>0.3</v>
      </c>
      <c r="G453" s="71">
        <v>3781</v>
      </c>
      <c r="H453" s="38">
        <f t="shared" si="52"/>
        <v>1134.3</v>
      </c>
    </row>
    <row r="454" spans="2:8">
      <c r="B454" s="35"/>
      <c r="C454" s="28"/>
      <c r="D454" s="28"/>
      <c r="E454" s="28"/>
      <c r="F454" s="28"/>
      <c r="G454" s="70" t="s">
        <v>97</v>
      </c>
      <c r="H454" s="41">
        <f>H449+H450+H451+H452+H453</f>
        <v>498103.22</v>
      </c>
    </row>
    <row r="455" spans="2:8">
      <c r="B455" s="35"/>
      <c r="C455" s="28"/>
      <c r="D455" s="28"/>
      <c r="E455" s="28"/>
      <c r="F455" s="28"/>
      <c r="G455" s="72"/>
      <c r="H455" s="36"/>
    </row>
    <row r="456" spans="2:8">
      <c r="B456" s="131" t="s">
        <v>98</v>
      </c>
      <c r="C456" s="132"/>
      <c r="D456" s="132"/>
      <c r="E456" s="132"/>
      <c r="F456" s="132"/>
      <c r="G456" s="132"/>
      <c r="H456" s="133"/>
    </row>
    <row r="457" spans="2:8">
      <c r="B457" s="128" t="s">
        <v>1</v>
      </c>
      <c r="C457" s="129"/>
      <c r="D457" s="130"/>
      <c r="E457" s="33" t="s">
        <v>90</v>
      </c>
      <c r="F457" s="33" t="s">
        <v>87</v>
      </c>
      <c r="G457" s="70" t="s">
        <v>63</v>
      </c>
      <c r="H457" s="37" t="s">
        <v>18</v>
      </c>
    </row>
    <row r="458" spans="2:8">
      <c r="B458" s="125" t="s">
        <v>128</v>
      </c>
      <c r="C458" s="126"/>
      <c r="D458" s="127"/>
      <c r="E458" s="26" t="s">
        <v>100</v>
      </c>
      <c r="F458" s="26">
        <v>0.42799999999999999</v>
      </c>
      <c r="G458" s="71">
        <v>95661</v>
      </c>
      <c r="H458" s="38">
        <f t="shared" ref="H458:H461" si="53">F458*G458</f>
        <v>40942.907999999996</v>
      </c>
    </row>
    <row r="459" spans="2:8">
      <c r="B459" s="125"/>
      <c r="C459" s="126"/>
      <c r="D459" s="127"/>
      <c r="E459" s="26"/>
      <c r="F459" s="26"/>
      <c r="G459" s="71"/>
      <c r="H459" s="38">
        <f t="shared" si="53"/>
        <v>0</v>
      </c>
    </row>
    <row r="460" spans="2:8">
      <c r="B460" s="125"/>
      <c r="C460" s="126"/>
      <c r="D460" s="127"/>
      <c r="E460" s="26"/>
      <c r="F460" s="26"/>
      <c r="G460" s="71"/>
      <c r="H460" s="38">
        <f t="shared" si="53"/>
        <v>0</v>
      </c>
    </row>
    <row r="461" spans="2:8">
      <c r="B461" s="125"/>
      <c r="C461" s="126"/>
      <c r="D461" s="127"/>
      <c r="E461" s="26"/>
      <c r="F461" s="26"/>
      <c r="G461" s="71"/>
      <c r="H461" s="38">
        <f t="shared" si="53"/>
        <v>0</v>
      </c>
    </row>
    <row r="462" spans="2:8">
      <c r="B462" s="35"/>
      <c r="C462" s="28"/>
      <c r="D462" s="28"/>
      <c r="E462" s="28"/>
      <c r="F462" s="28"/>
      <c r="G462" s="70" t="s">
        <v>101</v>
      </c>
      <c r="H462" s="41">
        <f>SUM(H458:H461)</f>
        <v>40942.907999999996</v>
      </c>
    </row>
    <row r="463" spans="2:8">
      <c r="B463" s="35"/>
      <c r="C463" s="28"/>
      <c r="D463" s="28"/>
      <c r="E463" s="28"/>
      <c r="F463" s="28"/>
      <c r="G463" s="72"/>
      <c r="H463" s="36"/>
    </row>
    <row r="464" spans="2:8">
      <c r="B464" s="131" t="s">
        <v>102</v>
      </c>
      <c r="C464" s="132"/>
      <c r="D464" s="132"/>
      <c r="E464" s="132"/>
      <c r="F464" s="132"/>
      <c r="G464" s="132"/>
      <c r="H464" s="133"/>
    </row>
    <row r="465" spans="2:8">
      <c r="B465" s="128" t="s">
        <v>1</v>
      </c>
      <c r="C465" s="129"/>
      <c r="D465" s="130"/>
      <c r="E465" s="33" t="s">
        <v>90</v>
      </c>
      <c r="F465" s="33" t="s">
        <v>87</v>
      </c>
      <c r="G465" s="70" t="s">
        <v>63</v>
      </c>
      <c r="H465" s="37" t="s">
        <v>18</v>
      </c>
    </row>
    <row r="466" spans="2:8">
      <c r="B466" s="125"/>
      <c r="C466" s="126"/>
      <c r="D466" s="127"/>
      <c r="E466" s="26"/>
      <c r="F466" s="26"/>
      <c r="G466" s="71"/>
      <c r="H466" s="38">
        <f t="shared" ref="H466:H468" si="54">F466*G466</f>
        <v>0</v>
      </c>
    </row>
    <row r="467" spans="2:8">
      <c r="B467" s="125"/>
      <c r="C467" s="126"/>
      <c r="D467" s="127"/>
      <c r="E467" s="26"/>
      <c r="F467" s="26"/>
      <c r="G467" s="71"/>
      <c r="H467" s="38">
        <f t="shared" si="54"/>
        <v>0</v>
      </c>
    </row>
    <row r="468" spans="2:8">
      <c r="B468" s="125"/>
      <c r="C468" s="126"/>
      <c r="D468" s="127"/>
      <c r="E468" s="26"/>
      <c r="F468" s="26"/>
      <c r="G468" s="71"/>
      <c r="H468" s="38">
        <f t="shared" si="54"/>
        <v>0</v>
      </c>
    </row>
    <row r="469" spans="2:8">
      <c r="B469" s="35"/>
      <c r="C469" s="28"/>
      <c r="D469" s="28"/>
      <c r="E469" s="28"/>
      <c r="F469" s="28"/>
      <c r="G469" s="70" t="s">
        <v>103</v>
      </c>
      <c r="H469" s="41">
        <f>SUM(H466:H468)</f>
        <v>0</v>
      </c>
    </row>
    <row r="470" spans="2:8">
      <c r="B470" s="35"/>
      <c r="C470" s="28"/>
      <c r="D470" s="28"/>
      <c r="E470" s="28"/>
      <c r="F470" s="28"/>
      <c r="G470" s="72"/>
      <c r="H470" s="36"/>
    </row>
    <row r="471" spans="2:8">
      <c r="B471" s="131" t="s">
        <v>104</v>
      </c>
      <c r="C471" s="132"/>
      <c r="D471" s="132"/>
      <c r="E471" s="132"/>
      <c r="F471" s="132"/>
      <c r="G471" s="132"/>
      <c r="H471" s="133"/>
    </row>
    <row r="472" spans="2:8">
      <c r="B472" s="128" t="s">
        <v>1</v>
      </c>
      <c r="C472" s="129"/>
      <c r="D472" s="130"/>
      <c r="E472" s="33" t="s">
        <v>90</v>
      </c>
      <c r="F472" s="33" t="s">
        <v>87</v>
      </c>
      <c r="G472" s="70" t="s">
        <v>63</v>
      </c>
      <c r="H472" s="37" t="s">
        <v>18</v>
      </c>
    </row>
    <row r="473" spans="2:8">
      <c r="B473" s="125" t="s">
        <v>105</v>
      </c>
      <c r="C473" s="126"/>
      <c r="D473" s="127"/>
      <c r="E473" s="26"/>
      <c r="F473" s="43">
        <v>2</v>
      </c>
      <c r="G473" s="71">
        <v>1000</v>
      </c>
      <c r="H473" s="38">
        <f t="shared" ref="H473:H476" si="55">F473*G473</f>
        <v>2000</v>
      </c>
    </row>
    <row r="474" spans="2:8">
      <c r="B474" s="125"/>
      <c r="C474" s="126"/>
      <c r="D474" s="127"/>
      <c r="E474" s="26"/>
      <c r="F474" s="26"/>
      <c r="G474" s="71"/>
      <c r="H474" s="38">
        <f t="shared" si="55"/>
        <v>0</v>
      </c>
    </row>
    <row r="475" spans="2:8">
      <c r="B475" s="125"/>
      <c r="C475" s="126"/>
      <c r="D475" s="127"/>
      <c r="E475" s="26"/>
      <c r="F475" s="26"/>
      <c r="G475" s="71"/>
      <c r="H475" s="38">
        <f t="shared" si="55"/>
        <v>0</v>
      </c>
    </row>
    <row r="476" spans="2:8">
      <c r="B476" s="125"/>
      <c r="C476" s="126"/>
      <c r="D476" s="127"/>
      <c r="E476" s="26"/>
      <c r="F476" s="26"/>
      <c r="G476" s="71"/>
      <c r="H476" s="38">
        <f t="shared" si="55"/>
        <v>0</v>
      </c>
    </row>
    <row r="477" spans="2:8">
      <c r="B477" s="35"/>
      <c r="C477" s="28"/>
      <c r="D477" s="28"/>
      <c r="E477" s="28"/>
      <c r="F477" s="28"/>
      <c r="G477" s="70" t="s">
        <v>103</v>
      </c>
      <c r="H477" s="41">
        <f>SUM(H473:H476)</f>
        <v>2000</v>
      </c>
    </row>
    <row r="478" spans="2:8">
      <c r="B478" s="35"/>
      <c r="C478" s="28"/>
      <c r="D478" s="28"/>
      <c r="E478" s="28"/>
      <c r="F478" s="28"/>
      <c r="G478" s="72"/>
      <c r="H478" s="36"/>
    </row>
    <row r="479" spans="2:8">
      <c r="B479" s="35"/>
      <c r="C479" s="28"/>
      <c r="D479" s="28"/>
      <c r="E479" s="28"/>
      <c r="F479" s="28"/>
      <c r="G479" s="72"/>
      <c r="H479" s="36"/>
    </row>
    <row r="480" spans="2:8">
      <c r="B480" s="35"/>
      <c r="C480" s="28"/>
      <c r="D480" s="28"/>
      <c r="E480" s="28"/>
      <c r="F480" s="28"/>
      <c r="G480" s="74" t="s">
        <v>49</v>
      </c>
      <c r="H480" s="44">
        <f>H445+H454+H462+H469+H477</f>
        <v>555170.12800000003</v>
      </c>
    </row>
    <row r="481" spans="2:8" ht="15" thickBot="1">
      <c r="B481" s="45"/>
      <c r="C481" s="46"/>
      <c r="D481" s="46"/>
      <c r="E481" s="46"/>
      <c r="F481" s="46"/>
      <c r="G481" s="76"/>
      <c r="H481" s="47"/>
    </row>
    <row r="482" spans="2:8" s="60" customFormat="1">
      <c r="G482" s="77"/>
    </row>
    <row r="483" spans="2:8" s="60" customFormat="1" ht="15" thickBot="1">
      <c r="G483" s="77"/>
    </row>
    <row r="484" spans="2:8">
      <c r="B484" s="141" t="s">
        <v>81</v>
      </c>
      <c r="C484" s="142"/>
      <c r="D484" s="143" t="s">
        <v>126</v>
      </c>
      <c r="E484" s="144"/>
      <c r="F484" s="144"/>
      <c r="G484" s="144"/>
      <c r="H484" s="145"/>
    </row>
    <row r="485" spans="2:8">
      <c r="B485" s="146" t="s">
        <v>34</v>
      </c>
      <c r="C485" s="147"/>
      <c r="D485" s="147"/>
      <c r="E485" s="147"/>
      <c r="F485" s="147"/>
      <c r="G485" s="147"/>
      <c r="H485" s="148"/>
    </row>
    <row r="486" spans="2:8">
      <c r="B486" s="32" t="s">
        <v>83</v>
      </c>
      <c r="C486" s="26"/>
      <c r="D486" s="28"/>
      <c r="E486" s="28"/>
      <c r="F486" s="28"/>
      <c r="G486" s="70" t="s">
        <v>84</v>
      </c>
      <c r="H486" s="34" t="s">
        <v>29</v>
      </c>
    </row>
    <row r="487" spans="2:8">
      <c r="B487" s="35"/>
      <c r="C487" s="28"/>
      <c r="D487" s="28"/>
      <c r="E487" s="28"/>
      <c r="F487" s="28"/>
      <c r="G487" s="70" t="s">
        <v>85</v>
      </c>
      <c r="H487" s="61">
        <v>67.349999999999994</v>
      </c>
    </row>
    <row r="488" spans="2:8">
      <c r="B488" s="131" t="s">
        <v>86</v>
      </c>
      <c r="C488" s="132"/>
      <c r="D488" s="132"/>
      <c r="E488" s="132"/>
      <c r="F488" s="132"/>
      <c r="G488" s="132"/>
      <c r="H488" s="133"/>
    </row>
    <row r="489" spans="2:8">
      <c r="B489" s="128" t="s">
        <v>1</v>
      </c>
      <c r="C489" s="129"/>
      <c r="D489" s="130"/>
      <c r="E489" s="33" t="s">
        <v>84</v>
      </c>
      <c r="F489" s="33" t="s">
        <v>87</v>
      </c>
      <c r="G489" s="70" t="s">
        <v>63</v>
      </c>
      <c r="H489" s="37" t="s">
        <v>18</v>
      </c>
    </row>
    <row r="490" spans="2:8" ht="22.9" customHeight="1">
      <c r="B490" s="125" t="s">
        <v>129</v>
      </c>
      <c r="C490" s="126"/>
      <c r="D490" s="127"/>
      <c r="E490" s="26" t="s">
        <v>100</v>
      </c>
      <c r="F490" s="26">
        <v>0.23699999999999999</v>
      </c>
      <c r="G490" s="71">
        <v>33000</v>
      </c>
      <c r="H490" s="38">
        <f t="shared" ref="H490:H492" si="56">F490*G490</f>
        <v>7821</v>
      </c>
    </row>
    <row r="491" spans="2:8">
      <c r="B491" s="125"/>
      <c r="C491" s="126"/>
      <c r="D491" s="127"/>
      <c r="E491" s="26"/>
      <c r="F491" s="26"/>
      <c r="G491" s="71"/>
      <c r="H491" s="38">
        <f t="shared" si="56"/>
        <v>0</v>
      </c>
    </row>
    <row r="492" spans="2:8">
      <c r="B492" s="125"/>
      <c r="C492" s="126"/>
      <c r="D492" s="127"/>
      <c r="E492" s="26"/>
      <c r="F492" s="26"/>
      <c r="G492" s="71"/>
      <c r="H492" s="38">
        <f t="shared" si="56"/>
        <v>0</v>
      </c>
    </row>
    <row r="493" spans="2:8">
      <c r="B493" s="39"/>
      <c r="C493" s="40"/>
      <c r="D493" s="40"/>
      <c r="E493" s="28"/>
      <c r="F493" s="28"/>
      <c r="G493" s="70" t="s">
        <v>88</v>
      </c>
      <c r="H493" s="41">
        <f>SUM(H490:H492)</f>
        <v>7821</v>
      </c>
    </row>
    <row r="494" spans="2:8">
      <c r="B494" s="35"/>
      <c r="C494" s="28"/>
      <c r="D494" s="28"/>
      <c r="E494" s="28"/>
      <c r="F494" s="28"/>
      <c r="G494" s="72"/>
      <c r="H494" s="36"/>
    </row>
    <row r="495" spans="2:8">
      <c r="B495" s="131" t="s">
        <v>89</v>
      </c>
      <c r="C495" s="132"/>
      <c r="D495" s="132"/>
      <c r="E495" s="132"/>
      <c r="F495" s="132"/>
      <c r="G495" s="132"/>
      <c r="H495" s="133"/>
    </row>
    <row r="496" spans="2:8">
      <c r="B496" s="128" t="s">
        <v>1</v>
      </c>
      <c r="C496" s="129"/>
      <c r="D496" s="130"/>
      <c r="E496" s="33" t="s">
        <v>90</v>
      </c>
      <c r="F496" s="33" t="s">
        <v>87</v>
      </c>
      <c r="G496" s="70" t="s">
        <v>63</v>
      </c>
      <c r="H496" s="37" t="s">
        <v>18</v>
      </c>
    </row>
    <row r="497" spans="2:8">
      <c r="B497" s="134" t="str">
        <f ca="1">IF($B497="","",VLOOKUP($B497,[1]MATERIALES!$A$6:$D$1434,2,FALSE))</f>
        <v>CONCRETO DE 24 MPA (3500 PSI)</v>
      </c>
      <c r="C497" s="135"/>
      <c r="D497" s="135"/>
      <c r="E497" s="2" t="str">
        <f ca="1">IF($B497="","",VLOOKUP($B497,[1]MATERIALES!$A$6:$D$1434,3,FALSE))</f>
        <v>M3</v>
      </c>
      <c r="F497" s="2">
        <v>1.05</v>
      </c>
      <c r="G497" s="71">
        <v>447258</v>
      </c>
      <c r="H497" s="38">
        <f>G497*F497</f>
        <v>469620.9</v>
      </c>
    </row>
    <row r="498" spans="2:8">
      <c r="B498" s="136" t="str">
        <f ca="1">IF($B498="","",VLOOKUP($B498,[1]MATERIALES!$A$6:$D$365,2,FALSE))</f>
        <v>TABLA BURRA ORDINARIO 0.30 m</v>
      </c>
      <c r="C498" s="137"/>
      <c r="D498" s="137"/>
      <c r="E498" s="2" t="str">
        <f ca="1">IF($B498="","",VLOOKUP($B498,[1]MATERIALES!$A$6:$D$365,3,FALSE))</f>
        <v>ML</v>
      </c>
      <c r="F498" s="2">
        <v>2.86</v>
      </c>
      <c r="G498" s="71">
        <v>5252</v>
      </c>
      <c r="H498" s="38">
        <f t="shared" ref="H498:H501" si="57">G498*F498</f>
        <v>15020.72</v>
      </c>
    </row>
    <row r="499" spans="2:8">
      <c r="B499" s="136" t="str">
        <f ca="1">IF($B499="","",VLOOKUP($B499,[1]MATERIALES!$A$6:$D$365,2,FALSE))</f>
        <v>REPISA ORDINARIO</v>
      </c>
      <c r="C499" s="137"/>
      <c r="D499" s="137"/>
      <c r="E499" s="2" t="str">
        <f ca="1">IF($B499="","",VLOOKUP($B499,[1]MATERIALES!$A$6:$D$365,3,FALSE))</f>
        <v>ML</v>
      </c>
      <c r="F499" s="2">
        <v>6</v>
      </c>
      <c r="G499" s="71">
        <v>1812</v>
      </c>
      <c r="H499" s="38">
        <f t="shared" si="57"/>
        <v>10872</v>
      </c>
    </row>
    <row r="500" spans="2:8">
      <c r="B500" s="136" t="str">
        <f ca="1">IF($B500="","",VLOOKUP($B500,[1]MATERIALES!$A$6:$D$365,2,FALSE))</f>
        <v>VARA DE CLAVO</v>
      </c>
      <c r="C500" s="137"/>
      <c r="D500" s="137"/>
      <c r="E500" s="2" t="str">
        <f ca="1">IF($B500="","",VLOOKUP($B500,[1]MATERIALES!$A$6:$D$365,3,FALSE))</f>
        <v>ML</v>
      </c>
      <c r="F500" s="2">
        <v>1.84</v>
      </c>
      <c r="G500" s="71">
        <v>1617</v>
      </c>
      <c r="H500" s="38">
        <f t="shared" si="57"/>
        <v>2975.28</v>
      </c>
    </row>
    <row r="501" spans="2:8">
      <c r="B501" s="136" t="str">
        <f ca="1">IF($B501="","",VLOOKUP($B501,[1]MATERIALES!$A$6:$D$365,2,FALSE))</f>
        <v>PUNTILLA</v>
      </c>
      <c r="C501" s="137"/>
      <c r="D501" s="137"/>
      <c r="E501" s="2" t="str">
        <f ca="1">IF($B501="","",VLOOKUP($B501,[1]MATERIALES!$A$6:$D$365,3,FALSE))</f>
        <v>LB</v>
      </c>
      <c r="F501" s="2">
        <v>0.4</v>
      </c>
      <c r="G501" s="71">
        <v>3781</v>
      </c>
      <c r="H501" s="38">
        <f t="shared" si="57"/>
        <v>1512.4</v>
      </c>
    </row>
    <row r="502" spans="2:8">
      <c r="B502" s="35"/>
      <c r="C502" s="28"/>
      <c r="D502" s="28"/>
      <c r="E502" s="28"/>
      <c r="F502" s="28"/>
      <c r="G502" s="70" t="s">
        <v>97</v>
      </c>
      <c r="H502" s="41">
        <f>H497+H498+H499+H500+H501</f>
        <v>500001.30000000005</v>
      </c>
    </row>
    <row r="503" spans="2:8">
      <c r="B503" s="35"/>
      <c r="C503" s="28"/>
      <c r="D503" s="28"/>
      <c r="E503" s="28"/>
      <c r="F503" s="28"/>
      <c r="G503" s="72"/>
      <c r="H503" s="36"/>
    </row>
    <row r="504" spans="2:8">
      <c r="B504" s="131" t="s">
        <v>98</v>
      </c>
      <c r="C504" s="132"/>
      <c r="D504" s="132"/>
      <c r="E504" s="132"/>
      <c r="F504" s="132"/>
      <c r="G504" s="132"/>
      <c r="H504" s="133"/>
    </row>
    <row r="505" spans="2:8">
      <c r="B505" s="128" t="s">
        <v>1</v>
      </c>
      <c r="C505" s="129"/>
      <c r="D505" s="130"/>
      <c r="E505" s="33" t="s">
        <v>90</v>
      </c>
      <c r="F505" s="33" t="s">
        <v>87</v>
      </c>
      <c r="G505" s="70" t="s">
        <v>63</v>
      </c>
      <c r="H505" s="37" t="s">
        <v>18</v>
      </c>
    </row>
    <row r="506" spans="2:8">
      <c r="B506" s="125" t="s">
        <v>128</v>
      </c>
      <c r="C506" s="126"/>
      <c r="D506" s="127"/>
      <c r="E506" s="26" t="s">
        <v>100</v>
      </c>
      <c r="F506" s="26">
        <v>0.23699999999999999</v>
      </c>
      <c r="G506" s="71">
        <v>95661</v>
      </c>
      <c r="H506" s="38">
        <f t="shared" ref="H506:H509" si="58">F506*G506</f>
        <v>22671.656999999999</v>
      </c>
    </row>
    <row r="507" spans="2:8">
      <c r="B507" s="125"/>
      <c r="C507" s="126"/>
      <c r="D507" s="127"/>
      <c r="E507" s="26"/>
      <c r="F507" s="26"/>
      <c r="G507" s="71"/>
      <c r="H507" s="38">
        <f t="shared" si="58"/>
        <v>0</v>
      </c>
    </row>
    <row r="508" spans="2:8">
      <c r="B508" s="125"/>
      <c r="C508" s="126"/>
      <c r="D508" s="127"/>
      <c r="E508" s="26"/>
      <c r="F508" s="26"/>
      <c r="G508" s="71"/>
      <c r="H508" s="38">
        <f t="shared" si="58"/>
        <v>0</v>
      </c>
    </row>
    <row r="509" spans="2:8">
      <c r="B509" s="125"/>
      <c r="C509" s="126"/>
      <c r="D509" s="127"/>
      <c r="E509" s="26"/>
      <c r="F509" s="26"/>
      <c r="G509" s="71"/>
      <c r="H509" s="38">
        <f t="shared" si="58"/>
        <v>0</v>
      </c>
    </row>
    <row r="510" spans="2:8">
      <c r="B510" s="35"/>
      <c r="C510" s="28"/>
      <c r="D510" s="28"/>
      <c r="E510" s="28"/>
      <c r="F510" s="28"/>
      <c r="G510" s="70" t="s">
        <v>101</v>
      </c>
      <c r="H510" s="41">
        <f>SUM(H506:H509)</f>
        <v>22671.656999999999</v>
      </c>
    </row>
    <row r="511" spans="2:8">
      <c r="B511" s="35"/>
      <c r="C511" s="28"/>
      <c r="D511" s="28"/>
      <c r="E511" s="28"/>
      <c r="F511" s="28"/>
      <c r="G511" s="72"/>
      <c r="H511" s="36"/>
    </row>
    <row r="512" spans="2:8">
      <c r="B512" s="131" t="s">
        <v>102</v>
      </c>
      <c r="C512" s="132"/>
      <c r="D512" s="132"/>
      <c r="E512" s="132"/>
      <c r="F512" s="132"/>
      <c r="G512" s="132"/>
      <c r="H512" s="133"/>
    </row>
    <row r="513" spans="2:8">
      <c r="B513" s="128" t="s">
        <v>1</v>
      </c>
      <c r="C513" s="129"/>
      <c r="D513" s="130"/>
      <c r="E513" s="33" t="s">
        <v>90</v>
      </c>
      <c r="F513" s="33" t="s">
        <v>87</v>
      </c>
      <c r="G513" s="70" t="s">
        <v>63</v>
      </c>
      <c r="H513" s="37" t="s">
        <v>18</v>
      </c>
    </row>
    <row r="514" spans="2:8">
      <c r="B514" s="125"/>
      <c r="C514" s="126"/>
      <c r="D514" s="127"/>
      <c r="E514" s="26"/>
      <c r="F514" s="26"/>
      <c r="G514" s="71"/>
      <c r="H514" s="38">
        <f t="shared" ref="H514:H516" si="59">F514*G514</f>
        <v>0</v>
      </c>
    </row>
    <row r="515" spans="2:8">
      <c r="B515" s="125"/>
      <c r="C515" s="126"/>
      <c r="D515" s="127"/>
      <c r="E515" s="26"/>
      <c r="F515" s="26"/>
      <c r="G515" s="71"/>
      <c r="H515" s="38">
        <f t="shared" si="59"/>
        <v>0</v>
      </c>
    </row>
    <row r="516" spans="2:8">
      <c r="B516" s="125"/>
      <c r="C516" s="126"/>
      <c r="D516" s="127"/>
      <c r="E516" s="26"/>
      <c r="F516" s="26"/>
      <c r="G516" s="71"/>
      <c r="H516" s="38">
        <f t="shared" si="59"/>
        <v>0</v>
      </c>
    </row>
    <row r="517" spans="2:8">
      <c r="B517" s="35"/>
      <c r="C517" s="28"/>
      <c r="D517" s="28"/>
      <c r="E517" s="28"/>
      <c r="F517" s="28"/>
      <c r="G517" s="70" t="s">
        <v>103</v>
      </c>
      <c r="H517" s="41">
        <f>SUM(H514:H516)</f>
        <v>0</v>
      </c>
    </row>
    <row r="518" spans="2:8">
      <c r="B518" s="35"/>
      <c r="C518" s="28"/>
      <c r="D518" s="28"/>
      <c r="E518" s="28"/>
      <c r="F518" s="28"/>
      <c r="G518" s="72"/>
      <c r="H518" s="36"/>
    </row>
    <row r="519" spans="2:8">
      <c r="B519" s="131" t="s">
        <v>104</v>
      </c>
      <c r="C519" s="132"/>
      <c r="D519" s="132"/>
      <c r="E519" s="132"/>
      <c r="F519" s="132"/>
      <c r="G519" s="132"/>
      <c r="H519" s="133"/>
    </row>
    <row r="520" spans="2:8">
      <c r="B520" s="128" t="s">
        <v>1</v>
      </c>
      <c r="C520" s="129"/>
      <c r="D520" s="130"/>
      <c r="E520" s="33" t="s">
        <v>90</v>
      </c>
      <c r="F520" s="33" t="s">
        <v>87</v>
      </c>
      <c r="G520" s="70" t="s">
        <v>63</v>
      </c>
      <c r="H520" s="37" t="s">
        <v>18</v>
      </c>
    </row>
    <row r="521" spans="2:8">
      <c r="B521" s="125" t="s">
        <v>105</v>
      </c>
      <c r="C521" s="126"/>
      <c r="D521" s="127"/>
      <c r="E521" s="26"/>
      <c r="F521" s="43">
        <v>2</v>
      </c>
      <c r="G521" s="71">
        <v>1000</v>
      </c>
      <c r="H521" s="38">
        <f t="shared" ref="H521:H524" si="60">F521*G521</f>
        <v>2000</v>
      </c>
    </row>
    <row r="522" spans="2:8">
      <c r="B522" s="125"/>
      <c r="C522" s="126"/>
      <c r="D522" s="127"/>
      <c r="E522" s="26"/>
      <c r="F522" s="26"/>
      <c r="G522" s="71"/>
      <c r="H522" s="38">
        <f t="shared" si="60"/>
        <v>0</v>
      </c>
    </row>
    <row r="523" spans="2:8">
      <c r="B523" s="125"/>
      <c r="C523" s="126"/>
      <c r="D523" s="127"/>
      <c r="E523" s="26"/>
      <c r="F523" s="26"/>
      <c r="G523" s="71"/>
      <c r="H523" s="38">
        <f t="shared" si="60"/>
        <v>0</v>
      </c>
    </row>
    <row r="524" spans="2:8">
      <c r="B524" s="125"/>
      <c r="C524" s="126"/>
      <c r="D524" s="127"/>
      <c r="E524" s="26"/>
      <c r="F524" s="26"/>
      <c r="G524" s="71"/>
      <c r="H524" s="38">
        <f t="shared" si="60"/>
        <v>0</v>
      </c>
    </row>
    <row r="525" spans="2:8">
      <c r="B525" s="35"/>
      <c r="C525" s="28"/>
      <c r="D525" s="28"/>
      <c r="E525" s="28"/>
      <c r="F525" s="28"/>
      <c r="G525" s="70" t="s">
        <v>103</v>
      </c>
      <c r="H525" s="41">
        <f>SUM(H521:H524)</f>
        <v>2000</v>
      </c>
    </row>
    <row r="526" spans="2:8">
      <c r="B526" s="35"/>
      <c r="C526" s="28"/>
      <c r="D526" s="28"/>
      <c r="E526" s="28"/>
      <c r="F526" s="28"/>
      <c r="G526" s="72"/>
      <c r="H526" s="36"/>
    </row>
    <row r="527" spans="2:8">
      <c r="B527" s="35"/>
      <c r="C527" s="28"/>
      <c r="D527" s="28"/>
      <c r="E527" s="28"/>
      <c r="F527" s="28"/>
      <c r="G527" s="72"/>
      <c r="H527" s="36"/>
    </row>
    <row r="528" spans="2:8">
      <c r="B528" s="35"/>
      <c r="C528" s="28"/>
      <c r="D528" s="28"/>
      <c r="E528" s="28"/>
      <c r="F528" s="28"/>
      <c r="G528" s="74" t="s">
        <v>49</v>
      </c>
      <c r="H528" s="44">
        <f>H493+H502+H510+H517+H525</f>
        <v>532493.95700000005</v>
      </c>
    </row>
    <row r="529" spans="2:8" ht="15" thickBot="1">
      <c r="B529" s="45"/>
      <c r="C529" s="46"/>
      <c r="D529" s="46"/>
      <c r="E529" s="46"/>
      <c r="F529" s="46"/>
      <c r="G529" s="76"/>
      <c r="H529" s="47"/>
    </row>
    <row r="530" spans="2:8" s="60" customFormat="1">
      <c r="G530" s="77"/>
    </row>
    <row r="531" spans="2:8" s="60" customFormat="1" ht="15" thickBot="1">
      <c r="G531" s="77"/>
    </row>
    <row r="532" spans="2:8">
      <c r="B532" s="141" t="s">
        <v>81</v>
      </c>
      <c r="C532" s="142"/>
      <c r="D532" s="143" t="s">
        <v>126</v>
      </c>
      <c r="E532" s="144"/>
      <c r="F532" s="144"/>
      <c r="G532" s="144"/>
      <c r="H532" s="145"/>
    </row>
    <row r="533" spans="2:8">
      <c r="B533" s="146" t="s">
        <v>130</v>
      </c>
      <c r="C533" s="147"/>
      <c r="D533" s="147"/>
      <c r="E533" s="147"/>
      <c r="F533" s="147"/>
      <c r="G533" s="147"/>
      <c r="H533" s="148"/>
    </row>
    <row r="534" spans="2:8">
      <c r="B534" s="32" t="s">
        <v>83</v>
      </c>
      <c r="C534" s="26"/>
      <c r="D534" s="28"/>
      <c r="E534" s="28"/>
      <c r="F534" s="28"/>
      <c r="G534" s="70" t="s">
        <v>84</v>
      </c>
      <c r="H534" s="34" t="s">
        <v>29</v>
      </c>
    </row>
    <row r="535" spans="2:8">
      <c r="B535" s="35"/>
      <c r="C535" s="28"/>
      <c r="D535" s="28"/>
      <c r="E535" s="28"/>
      <c r="F535" s="28"/>
      <c r="G535" s="70" t="s">
        <v>85</v>
      </c>
      <c r="H535" s="61">
        <v>697.6</v>
      </c>
    </row>
    <row r="536" spans="2:8">
      <c r="B536" s="131" t="s">
        <v>86</v>
      </c>
      <c r="C536" s="132"/>
      <c r="D536" s="132"/>
      <c r="E536" s="132"/>
      <c r="F536" s="132"/>
      <c r="G536" s="132"/>
      <c r="H536" s="133"/>
    </row>
    <row r="537" spans="2:8">
      <c r="B537" s="128" t="s">
        <v>1</v>
      </c>
      <c r="C537" s="129"/>
      <c r="D537" s="130"/>
      <c r="E537" s="33" t="s">
        <v>84</v>
      </c>
      <c r="F537" s="33" t="s">
        <v>87</v>
      </c>
      <c r="G537" s="70" t="s">
        <v>63</v>
      </c>
      <c r="H537" s="37" t="s">
        <v>18</v>
      </c>
    </row>
    <row r="538" spans="2:8" ht="24" customHeight="1">
      <c r="B538" s="125" t="s">
        <v>129</v>
      </c>
      <c r="C538" s="126"/>
      <c r="D538" s="127"/>
      <c r="E538" s="26" t="s">
        <v>100</v>
      </c>
      <c r="F538" s="26">
        <v>0.02</v>
      </c>
      <c r="G538" s="71">
        <v>33000</v>
      </c>
      <c r="H538" s="38">
        <f t="shared" ref="H538:H540" si="61">F538*G538</f>
        <v>660</v>
      </c>
    </row>
    <row r="539" spans="2:8">
      <c r="B539" s="125"/>
      <c r="C539" s="126"/>
      <c r="D539" s="127"/>
      <c r="E539" s="26"/>
      <c r="F539" s="26"/>
      <c r="G539" s="71"/>
      <c r="H539" s="38">
        <f t="shared" si="61"/>
        <v>0</v>
      </c>
    </row>
    <row r="540" spans="2:8">
      <c r="B540" s="125"/>
      <c r="C540" s="126"/>
      <c r="D540" s="127"/>
      <c r="E540" s="26"/>
      <c r="F540" s="26"/>
      <c r="G540" s="71"/>
      <c r="H540" s="38">
        <f t="shared" si="61"/>
        <v>0</v>
      </c>
    </row>
    <row r="541" spans="2:8">
      <c r="B541" s="39"/>
      <c r="C541" s="40"/>
      <c r="D541" s="40"/>
      <c r="E541" s="28"/>
      <c r="F541" s="28"/>
      <c r="G541" s="70" t="s">
        <v>88</v>
      </c>
      <c r="H541" s="41">
        <f>SUM(H538:H540)</f>
        <v>660</v>
      </c>
    </row>
    <row r="542" spans="2:8">
      <c r="B542" s="35"/>
      <c r="C542" s="28"/>
      <c r="D542" s="28"/>
      <c r="E542" s="28"/>
      <c r="F542" s="28"/>
      <c r="G542" s="72"/>
      <c r="H542" s="36"/>
    </row>
    <row r="543" spans="2:8">
      <c r="B543" s="131" t="s">
        <v>89</v>
      </c>
      <c r="C543" s="132"/>
      <c r="D543" s="132"/>
      <c r="E543" s="132"/>
      <c r="F543" s="132"/>
      <c r="G543" s="132"/>
      <c r="H543" s="133"/>
    </row>
    <row r="544" spans="2:8">
      <c r="B544" s="128" t="s">
        <v>1</v>
      </c>
      <c r="C544" s="129"/>
      <c r="D544" s="130"/>
      <c r="E544" s="33" t="s">
        <v>90</v>
      </c>
      <c r="F544" s="33" t="s">
        <v>87</v>
      </c>
      <c r="G544" s="70" t="s">
        <v>63</v>
      </c>
      <c r="H544" s="37" t="s">
        <v>18</v>
      </c>
    </row>
    <row r="545" spans="2:8">
      <c r="B545" s="134" t="str">
        <f ca="1">IF($B545="","",VLOOKUP($B545,[1]MATERIALES!$A$6:$D$1434,2,FALSE))</f>
        <v>CONCRETO DE 24 MPA (3500 PSI)</v>
      </c>
      <c r="C545" s="135"/>
      <c r="D545" s="135"/>
      <c r="E545" s="2" t="str">
        <f ca="1">IF($B545="","",VLOOKUP($B545,[1]MATERIALES!$A$6:$D$1434,3,FALSE))</f>
        <v>M3</v>
      </c>
      <c r="F545" s="2">
        <v>1.01</v>
      </c>
      <c r="G545" s="71">
        <v>447258</v>
      </c>
      <c r="H545" s="38">
        <f>G545*F545</f>
        <v>451730.58</v>
      </c>
    </row>
    <row r="546" spans="2:8">
      <c r="B546" s="136" t="s">
        <v>131</v>
      </c>
      <c r="C546" s="137"/>
      <c r="D546" s="137"/>
      <c r="E546" s="2" t="s">
        <v>21</v>
      </c>
      <c r="F546" s="2">
        <v>0.45</v>
      </c>
      <c r="G546" s="71">
        <v>2640</v>
      </c>
      <c r="H546" s="38">
        <f t="shared" ref="H546:H547" si="62">G546*F546</f>
        <v>1188</v>
      </c>
    </row>
    <row r="547" spans="2:8">
      <c r="B547" s="136" t="str">
        <f ca="1">IF($B547="","",VLOOKUP($B547,[1]MATERIALES!$A$6:$D$365,2,FALSE))</f>
        <v>PUNTILLA</v>
      </c>
      <c r="C547" s="137"/>
      <c r="D547" s="137"/>
      <c r="E547" s="2" t="str">
        <f ca="1">IF($B547="","",VLOOKUP($B547,[1]MATERIALES!$A$6:$D$365,3,FALSE))</f>
        <v>LB</v>
      </c>
      <c r="F547" s="2">
        <v>0.02</v>
      </c>
      <c r="G547" s="71">
        <v>3781</v>
      </c>
      <c r="H547" s="38">
        <f t="shared" si="62"/>
        <v>75.62</v>
      </c>
    </row>
    <row r="548" spans="2:8">
      <c r="B548" s="35"/>
      <c r="C548" s="28"/>
      <c r="D548" s="28"/>
      <c r="E548" s="28"/>
      <c r="F548" s="28"/>
      <c r="G548" s="70" t="s">
        <v>97</v>
      </c>
      <c r="H548" s="41">
        <f>H546+H547+H545</f>
        <v>452994.2</v>
      </c>
    </row>
    <row r="549" spans="2:8">
      <c r="B549" s="35"/>
      <c r="C549" s="28"/>
      <c r="D549" s="28"/>
      <c r="E549" s="28"/>
      <c r="F549" s="28"/>
      <c r="G549" s="72"/>
      <c r="H549" s="36"/>
    </row>
    <row r="550" spans="2:8">
      <c r="B550" s="131" t="s">
        <v>98</v>
      </c>
      <c r="C550" s="132"/>
      <c r="D550" s="132"/>
      <c r="E550" s="132"/>
      <c r="F550" s="132"/>
      <c r="G550" s="132"/>
      <c r="H550" s="133"/>
    </row>
    <row r="551" spans="2:8">
      <c r="B551" s="128" t="s">
        <v>1</v>
      </c>
      <c r="C551" s="129"/>
      <c r="D551" s="130"/>
      <c r="E551" s="33" t="s">
        <v>90</v>
      </c>
      <c r="F551" s="33" t="s">
        <v>87</v>
      </c>
      <c r="G551" s="70" t="s">
        <v>63</v>
      </c>
      <c r="H551" s="37" t="s">
        <v>18</v>
      </c>
    </row>
    <row r="552" spans="2:8">
      <c r="B552" s="125" t="s">
        <v>128</v>
      </c>
      <c r="C552" s="126"/>
      <c r="D552" s="127"/>
      <c r="E552" s="26" t="s">
        <v>100</v>
      </c>
      <c r="F552" s="26">
        <v>0.02</v>
      </c>
      <c r="G552" s="71">
        <v>95661</v>
      </c>
      <c r="H552" s="38">
        <f t="shared" ref="H552:H555" si="63">F552*G552</f>
        <v>1913.22</v>
      </c>
    </row>
    <row r="553" spans="2:8">
      <c r="B553" s="125"/>
      <c r="C553" s="126"/>
      <c r="D553" s="127"/>
      <c r="E553" s="26"/>
      <c r="F553" s="26"/>
      <c r="G553" s="71"/>
      <c r="H553" s="38">
        <f t="shared" si="63"/>
        <v>0</v>
      </c>
    </row>
    <row r="554" spans="2:8">
      <c r="B554" s="125"/>
      <c r="C554" s="126"/>
      <c r="D554" s="127"/>
      <c r="E554" s="26"/>
      <c r="F554" s="26"/>
      <c r="G554" s="71"/>
      <c r="H554" s="38">
        <f t="shared" si="63"/>
        <v>0</v>
      </c>
    </row>
    <row r="555" spans="2:8">
      <c r="B555" s="125"/>
      <c r="C555" s="126"/>
      <c r="D555" s="127"/>
      <c r="E555" s="26"/>
      <c r="F555" s="26"/>
      <c r="G555" s="71"/>
      <c r="H555" s="38">
        <f t="shared" si="63"/>
        <v>0</v>
      </c>
    </row>
    <row r="556" spans="2:8">
      <c r="B556" s="35"/>
      <c r="C556" s="28"/>
      <c r="D556" s="28"/>
      <c r="E556" s="28"/>
      <c r="F556" s="28"/>
      <c r="G556" s="70" t="s">
        <v>101</v>
      </c>
      <c r="H556" s="41">
        <f>SUM(H552:H555)</f>
        <v>1913.22</v>
      </c>
    </row>
    <row r="557" spans="2:8">
      <c r="B557" s="35"/>
      <c r="C557" s="28"/>
      <c r="D557" s="28"/>
      <c r="E557" s="28"/>
      <c r="F557" s="28"/>
      <c r="G557" s="72"/>
      <c r="H557" s="36"/>
    </row>
    <row r="558" spans="2:8">
      <c r="B558" s="131" t="s">
        <v>102</v>
      </c>
      <c r="C558" s="132"/>
      <c r="D558" s="132"/>
      <c r="E558" s="132"/>
      <c r="F558" s="132"/>
      <c r="G558" s="132"/>
      <c r="H558" s="133"/>
    </row>
    <row r="559" spans="2:8">
      <c r="B559" s="128" t="s">
        <v>1</v>
      </c>
      <c r="C559" s="129"/>
      <c r="D559" s="130"/>
      <c r="E559" s="33" t="s">
        <v>90</v>
      </c>
      <c r="F559" s="33" t="s">
        <v>87</v>
      </c>
      <c r="G559" s="70" t="s">
        <v>63</v>
      </c>
      <c r="H559" s="37" t="s">
        <v>18</v>
      </c>
    </row>
    <row r="560" spans="2:8">
      <c r="B560" s="125"/>
      <c r="C560" s="126"/>
      <c r="D560" s="127"/>
      <c r="E560" s="26"/>
      <c r="F560" s="26"/>
      <c r="G560" s="71"/>
      <c r="H560" s="38">
        <f t="shared" ref="H560:H562" si="64">F560*G560</f>
        <v>0</v>
      </c>
    </row>
    <row r="561" spans="2:8">
      <c r="B561" s="125"/>
      <c r="C561" s="126"/>
      <c r="D561" s="127"/>
      <c r="E561" s="26"/>
      <c r="F561" s="26"/>
      <c r="G561" s="71"/>
      <c r="H561" s="38">
        <f t="shared" si="64"/>
        <v>0</v>
      </c>
    </row>
    <row r="562" spans="2:8">
      <c r="B562" s="125"/>
      <c r="C562" s="126"/>
      <c r="D562" s="127"/>
      <c r="E562" s="26"/>
      <c r="F562" s="26"/>
      <c r="G562" s="71"/>
      <c r="H562" s="38">
        <f t="shared" si="64"/>
        <v>0</v>
      </c>
    </row>
    <row r="563" spans="2:8">
      <c r="B563" s="35"/>
      <c r="C563" s="28"/>
      <c r="D563" s="28"/>
      <c r="E563" s="28"/>
      <c r="F563" s="28"/>
      <c r="G563" s="70" t="s">
        <v>103</v>
      </c>
      <c r="H563" s="41">
        <f>SUM(H560:H562)</f>
        <v>0</v>
      </c>
    </row>
    <row r="564" spans="2:8">
      <c r="B564" s="35"/>
      <c r="C564" s="28"/>
      <c r="D564" s="28"/>
      <c r="E564" s="28"/>
      <c r="F564" s="28"/>
      <c r="G564" s="72"/>
      <c r="H564" s="36"/>
    </row>
    <row r="565" spans="2:8">
      <c r="B565" s="131" t="s">
        <v>104</v>
      </c>
      <c r="C565" s="132"/>
      <c r="D565" s="132"/>
      <c r="E565" s="132"/>
      <c r="F565" s="132"/>
      <c r="G565" s="132"/>
      <c r="H565" s="133"/>
    </row>
    <row r="566" spans="2:8">
      <c r="B566" s="128" t="s">
        <v>1</v>
      </c>
      <c r="C566" s="129"/>
      <c r="D566" s="130"/>
      <c r="E566" s="33" t="s">
        <v>90</v>
      </c>
      <c r="F566" s="33" t="s">
        <v>87</v>
      </c>
      <c r="G566" s="70" t="s">
        <v>63</v>
      </c>
      <c r="H566" s="37" t="s">
        <v>18</v>
      </c>
    </row>
    <row r="567" spans="2:8">
      <c r="B567" s="125" t="s">
        <v>105</v>
      </c>
      <c r="C567" s="126"/>
      <c r="D567" s="127"/>
      <c r="E567" s="26"/>
      <c r="F567" s="43">
        <v>2</v>
      </c>
      <c r="G567" s="71">
        <v>1000</v>
      </c>
      <c r="H567" s="38">
        <f t="shared" ref="H567:H570" si="65">F567*G567</f>
        <v>2000</v>
      </c>
    </row>
    <row r="568" spans="2:8">
      <c r="B568" s="125"/>
      <c r="C568" s="126"/>
      <c r="D568" s="127"/>
      <c r="E568" s="26"/>
      <c r="F568" s="26"/>
      <c r="G568" s="71"/>
      <c r="H568" s="38">
        <f t="shared" si="65"/>
        <v>0</v>
      </c>
    </row>
    <row r="569" spans="2:8">
      <c r="B569" s="125"/>
      <c r="C569" s="126"/>
      <c r="D569" s="127"/>
      <c r="E569" s="26"/>
      <c r="F569" s="26"/>
      <c r="G569" s="71"/>
      <c r="H569" s="38">
        <f t="shared" si="65"/>
        <v>0</v>
      </c>
    </row>
    <row r="570" spans="2:8">
      <c r="B570" s="125"/>
      <c r="C570" s="126"/>
      <c r="D570" s="127"/>
      <c r="E570" s="26"/>
      <c r="F570" s="26"/>
      <c r="G570" s="71"/>
      <c r="H570" s="38">
        <f t="shared" si="65"/>
        <v>0</v>
      </c>
    </row>
    <row r="571" spans="2:8">
      <c r="B571" s="35"/>
      <c r="C571" s="28"/>
      <c r="D571" s="28"/>
      <c r="E571" s="28"/>
      <c r="F571" s="28"/>
      <c r="G571" s="70" t="s">
        <v>103</v>
      </c>
      <c r="H571" s="41">
        <f>SUM(H567:H570)</f>
        <v>2000</v>
      </c>
    </row>
    <row r="572" spans="2:8">
      <c r="B572" s="35"/>
      <c r="C572" s="28"/>
      <c r="D572" s="28"/>
      <c r="E572" s="28"/>
      <c r="F572" s="28"/>
      <c r="G572" s="72"/>
      <c r="H572" s="36"/>
    </row>
    <row r="573" spans="2:8">
      <c r="B573" s="35"/>
      <c r="C573" s="28"/>
      <c r="D573" s="28"/>
      <c r="E573" s="28"/>
      <c r="F573" s="28"/>
      <c r="G573" s="72"/>
      <c r="H573" s="36"/>
    </row>
    <row r="574" spans="2:8">
      <c r="B574" s="35"/>
      <c r="C574" s="28"/>
      <c r="D574" s="28"/>
      <c r="E574" s="28"/>
      <c r="F574" s="28"/>
      <c r="G574" s="74" t="s">
        <v>49</v>
      </c>
      <c r="H574" s="44">
        <f>H541+H548+H556+H563+H571</f>
        <v>457567.42</v>
      </c>
    </row>
    <row r="575" spans="2:8" ht="15" thickBot="1">
      <c r="B575" s="45"/>
      <c r="C575" s="46"/>
      <c r="D575" s="46"/>
      <c r="E575" s="46"/>
      <c r="F575" s="46"/>
      <c r="G575" s="76"/>
      <c r="H575" s="47"/>
    </row>
    <row r="576" spans="2:8" s="60" customFormat="1">
      <c r="G576" s="77"/>
    </row>
    <row r="577" spans="2:8" s="60" customFormat="1" ht="15" thickBot="1">
      <c r="G577" s="77"/>
    </row>
    <row r="578" spans="2:8">
      <c r="B578" s="141" t="s">
        <v>81</v>
      </c>
      <c r="C578" s="142"/>
      <c r="D578" s="143" t="s">
        <v>126</v>
      </c>
      <c r="E578" s="144"/>
      <c r="F578" s="144"/>
      <c r="G578" s="144"/>
      <c r="H578" s="145"/>
    </row>
    <row r="579" spans="2:8">
      <c r="B579" s="146" t="s">
        <v>132</v>
      </c>
      <c r="C579" s="147"/>
      <c r="D579" s="147"/>
      <c r="E579" s="147"/>
      <c r="F579" s="147"/>
      <c r="G579" s="147"/>
      <c r="H579" s="148"/>
    </row>
    <row r="580" spans="2:8">
      <c r="B580" s="32" t="s">
        <v>83</v>
      </c>
      <c r="C580" s="26"/>
      <c r="D580" s="28"/>
      <c r="E580" s="28"/>
      <c r="F580" s="28"/>
      <c r="G580" s="70" t="s">
        <v>84</v>
      </c>
      <c r="H580" s="34" t="s">
        <v>23</v>
      </c>
    </row>
    <row r="581" spans="2:8">
      <c r="B581" s="35"/>
      <c r="C581" s="28"/>
      <c r="D581" s="28"/>
      <c r="E581" s="28"/>
      <c r="F581" s="28"/>
      <c r="G581" s="70" t="s">
        <v>85</v>
      </c>
      <c r="H581" s="61">
        <v>697.6</v>
      </c>
    </row>
    <row r="582" spans="2:8">
      <c r="B582" s="131" t="s">
        <v>86</v>
      </c>
      <c r="C582" s="132"/>
      <c r="D582" s="132"/>
      <c r="E582" s="132"/>
      <c r="F582" s="132"/>
      <c r="G582" s="132"/>
      <c r="H582" s="133"/>
    </row>
    <row r="583" spans="2:8">
      <c r="B583" s="128" t="s">
        <v>1</v>
      </c>
      <c r="C583" s="129"/>
      <c r="D583" s="130"/>
      <c r="E583" s="33" t="s">
        <v>84</v>
      </c>
      <c r="F583" s="33" t="s">
        <v>87</v>
      </c>
      <c r="G583" s="70" t="s">
        <v>63</v>
      </c>
      <c r="H583" s="37" t="s">
        <v>18</v>
      </c>
    </row>
    <row r="584" spans="2:8" ht="23.45" customHeight="1">
      <c r="B584" s="125"/>
      <c r="C584" s="126"/>
      <c r="D584" s="127"/>
      <c r="E584" s="26"/>
      <c r="F584" s="26"/>
      <c r="G584" s="71"/>
      <c r="H584" s="38">
        <f t="shared" ref="H584:H586" si="66">F584*G584</f>
        <v>0</v>
      </c>
    </row>
    <row r="585" spans="2:8">
      <c r="B585" s="125"/>
      <c r="C585" s="126"/>
      <c r="D585" s="127"/>
      <c r="E585" s="26"/>
      <c r="F585" s="26"/>
      <c r="G585" s="71"/>
      <c r="H585" s="38">
        <f t="shared" si="66"/>
        <v>0</v>
      </c>
    </row>
    <row r="586" spans="2:8">
      <c r="B586" s="125"/>
      <c r="C586" s="126"/>
      <c r="D586" s="127"/>
      <c r="E586" s="26"/>
      <c r="F586" s="26"/>
      <c r="G586" s="71"/>
      <c r="H586" s="38">
        <f t="shared" si="66"/>
        <v>0</v>
      </c>
    </row>
    <row r="587" spans="2:8">
      <c r="B587" s="39"/>
      <c r="C587" s="40"/>
      <c r="D587" s="40"/>
      <c r="E587" s="28"/>
      <c r="F587" s="28"/>
      <c r="G587" s="70" t="s">
        <v>88</v>
      </c>
      <c r="H587" s="41">
        <f>SUM(H584:H586)</f>
        <v>0</v>
      </c>
    </row>
    <row r="588" spans="2:8">
      <c r="B588" s="35"/>
      <c r="C588" s="28"/>
      <c r="D588" s="28"/>
      <c r="E588" s="28"/>
      <c r="F588" s="28"/>
      <c r="G588" s="72"/>
      <c r="H588" s="36"/>
    </row>
    <row r="589" spans="2:8">
      <c r="B589" s="131" t="s">
        <v>89</v>
      </c>
      <c r="C589" s="132"/>
      <c r="D589" s="132"/>
      <c r="E589" s="132"/>
      <c r="F589" s="132"/>
      <c r="G589" s="132"/>
      <c r="H589" s="133"/>
    </row>
    <row r="590" spans="2:8">
      <c r="B590" s="128" t="s">
        <v>1</v>
      </c>
      <c r="C590" s="129"/>
      <c r="D590" s="130"/>
      <c r="E590" s="33" t="s">
        <v>90</v>
      </c>
      <c r="F590" s="33" t="s">
        <v>87</v>
      </c>
      <c r="G590" s="70" t="s">
        <v>63</v>
      </c>
      <c r="H590" s="37" t="s">
        <v>18</v>
      </c>
    </row>
    <row r="591" spans="2:8">
      <c r="B591" s="134" t="s">
        <v>133</v>
      </c>
      <c r="C591" s="135"/>
      <c r="D591" s="135"/>
      <c r="E591" s="2" t="s">
        <v>23</v>
      </c>
      <c r="F591" s="2">
        <v>1.1000000000000001</v>
      </c>
      <c r="G591" s="71">
        <v>4780</v>
      </c>
      <c r="H591" s="38">
        <f>G591*F591</f>
        <v>5258</v>
      </c>
    </row>
    <row r="592" spans="2:8">
      <c r="B592" s="136"/>
      <c r="C592" s="137"/>
      <c r="D592" s="137"/>
      <c r="E592" s="2"/>
      <c r="F592" s="2"/>
      <c r="G592" s="71"/>
      <c r="H592" s="38">
        <f t="shared" ref="H592:H593" si="67">G592*F592</f>
        <v>0</v>
      </c>
    </row>
    <row r="593" spans="2:8">
      <c r="B593" s="136"/>
      <c r="C593" s="137"/>
      <c r="D593" s="137"/>
      <c r="E593" s="2"/>
      <c r="F593" s="2"/>
      <c r="G593" s="71"/>
      <c r="H593" s="38">
        <f t="shared" si="67"/>
        <v>0</v>
      </c>
    </row>
    <row r="594" spans="2:8">
      <c r="B594" s="35"/>
      <c r="C594" s="28"/>
      <c r="D594" s="28"/>
      <c r="E594" s="28"/>
      <c r="F594" s="28"/>
      <c r="G594" s="70" t="s">
        <v>97</v>
      </c>
      <c r="H594" s="41">
        <f>H592+H593+H591</f>
        <v>5258</v>
      </c>
    </row>
    <row r="595" spans="2:8">
      <c r="B595" s="35"/>
      <c r="C595" s="28"/>
      <c r="D595" s="28"/>
      <c r="E595" s="28"/>
      <c r="F595" s="28"/>
      <c r="G595" s="72"/>
      <c r="H595" s="36"/>
    </row>
    <row r="596" spans="2:8">
      <c r="B596" s="131" t="s">
        <v>98</v>
      </c>
      <c r="C596" s="132"/>
      <c r="D596" s="132"/>
      <c r="E596" s="132"/>
      <c r="F596" s="132"/>
      <c r="G596" s="132"/>
      <c r="H596" s="133"/>
    </row>
    <row r="597" spans="2:8">
      <c r="B597" s="128" t="s">
        <v>1</v>
      </c>
      <c r="C597" s="129"/>
      <c r="D597" s="130"/>
      <c r="E597" s="33" t="s">
        <v>90</v>
      </c>
      <c r="F597" s="33" t="s">
        <v>87</v>
      </c>
      <c r="G597" s="70" t="s">
        <v>63</v>
      </c>
      <c r="H597" s="37" t="s">
        <v>18</v>
      </c>
    </row>
    <row r="598" spans="2:8">
      <c r="B598" s="125" t="s">
        <v>134</v>
      </c>
      <c r="C598" s="126"/>
      <c r="D598" s="127"/>
      <c r="E598" s="26" t="s">
        <v>100</v>
      </c>
      <c r="F598" s="26">
        <v>6.0000000000000001E-3</v>
      </c>
      <c r="G598" s="71">
        <v>77564</v>
      </c>
      <c r="H598" s="38">
        <f t="shared" ref="H598:H601" si="68">F598*G598</f>
        <v>465.38400000000001</v>
      </c>
    </row>
    <row r="599" spans="2:8">
      <c r="B599" s="125"/>
      <c r="C599" s="126"/>
      <c r="D599" s="127"/>
      <c r="E599" s="26"/>
      <c r="F599" s="26"/>
      <c r="G599" s="71"/>
      <c r="H599" s="38">
        <f t="shared" si="68"/>
        <v>0</v>
      </c>
    </row>
    <row r="600" spans="2:8">
      <c r="B600" s="125"/>
      <c r="C600" s="126"/>
      <c r="D600" s="127"/>
      <c r="E600" s="26"/>
      <c r="F600" s="26"/>
      <c r="G600" s="71"/>
      <c r="H600" s="38">
        <f t="shared" si="68"/>
        <v>0</v>
      </c>
    </row>
    <row r="601" spans="2:8">
      <c r="B601" s="125"/>
      <c r="C601" s="126"/>
      <c r="D601" s="127"/>
      <c r="E601" s="26"/>
      <c r="F601" s="26"/>
      <c r="G601" s="71"/>
      <c r="H601" s="38">
        <f t="shared" si="68"/>
        <v>0</v>
      </c>
    </row>
    <row r="602" spans="2:8">
      <c r="B602" s="35"/>
      <c r="C602" s="28"/>
      <c r="D602" s="28"/>
      <c r="E602" s="28"/>
      <c r="F602" s="28"/>
      <c r="G602" s="70" t="s">
        <v>101</v>
      </c>
      <c r="H602" s="41">
        <f>SUM(H598:H601)</f>
        <v>465.38400000000001</v>
      </c>
    </row>
    <row r="603" spans="2:8">
      <c r="B603" s="35"/>
      <c r="C603" s="28"/>
      <c r="D603" s="28"/>
      <c r="E603" s="28"/>
      <c r="F603" s="28"/>
      <c r="G603" s="72"/>
      <c r="H603" s="36"/>
    </row>
    <row r="604" spans="2:8">
      <c r="B604" s="131" t="s">
        <v>102</v>
      </c>
      <c r="C604" s="132"/>
      <c r="D604" s="132"/>
      <c r="E604" s="132"/>
      <c r="F604" s="132"/>
      <c r="G604" s="132"/>
      <c r="H604" s="133"/>
    </row>
    <row r="605" spans="2:8">
      <c r="B605" s="128" t="s">
        <v>1</v>
      </c>
      <c r="C605" s="129"/>
      <c r="D605" s="130"/>
      <c r="E605" s="33" t="s">
        <v>90</v>
      </c>
      <c r="F605" s="33" t="s">
        <v>87</v>
      </c>
      <c r="G605" s="70" t="s">
        <v>63</v>
      </c>
      <c r="H605" s="37" t="s">
        <v>18</v>
      </c>
    </row>
    <row r="606" spans="2:8">
      <c r="B606" s="125"/>
      <c r="C606" s="126"/>
      <c r="D606" s="127"/>
      <c r="E606" s="26"/>
      <c r="F606" s="26"/>
      <c r="G606" s="71"/>
      <c r="H606" s="38">
        <f t="shared" ref="H606:H608" si="69">F606*G606</f>
        <v>0</v>
      </c>
    </row>
    <row r="607" spans="2:8">
      <c r="B607" s="125"/>
      <c r="C607" s="126"/>
      <c r="D607" s="127"/>
      <c r="E607" s="26"/>
      <c r="F607" s="26"/>
      <c r="G607" s="71"/>
      <c r="H607" s="38">
        <f t="shared" si="69"/>
        <v>0</v>
      </c>
    </row>
    <row r="608" spans="2:8">
      <c r="B608" s="125"/>
      <c r="C608" s="126"/>
      <c r="D608" s="127"/>
      <c r="E608" s="26"/>
      <c r="F608" s="26"/>
      <c r="G608" s="71"/>
      <c r="H608" s="38">
        <f t="shared" si="69"/>
        <v>0</v>
      </c>
    </row>
    <row r="609" spans="2:8">
      <c r="B609" s="35"/>
      <c r="C609" s="28"/>
      <c r="D609" s="28"/>
      <c r="E609" s="28"/>
      <c r="F609" s="28"/>
      <c r="G609" s="70" t="s">
        <v>103</v>
      </c>
      <c r="H609" s="41">
        <f>SUM(H606:H608)</f>
        <v>0</v>
      </c>
    </row>
    <row r="610" spans="2:8">
      <c r="B610" s="35"/>
      <c r="C610" s="28"/>
      <c r="D610" s="28"/>
      <c r="E610" s="28"/>
      <c r="F610" s="28"/>
      <c r="G610" s="72"/>
      <c r="H610" s="36"/>
    </row>
    <row r="611" spans="2:8">
      <c r="B611" s="131" t="s">
        <v>104</v>
      </c>
      <c r="C611" s="132"/>
      <c r="D611" s="132"/>
      <c r="E611" s="132"/>
      <c r="F611" s="132"/>
      <c r="G611" s="132"/>
      <c r="H611" s="133"/>
    </row>
    <row r="612" spans="2:8">
      <c r="B612" s="128" t="s">
        <v>1</v>
      </c>
      <c r="C612" s="129"/>
      <c r="D612" s="130"/>
      <c r="E612" s="33" t="s">
        <v>90</v>
      </c>
      <c r="F612" s="33" t="s">
        <v>87</v>
      </c>
      <c r="G612" s="70" t="s">
        <v>63</v>
      </c>
      <c r="H612" s="37" t="s">
        <v>18</v>
      </c>
    </row>
    <row r="613" spans="2:8">
      <c r="B613" s="125" t="s">
        <v>105</v>
      </c>
      <c r="C613" s="126"/>
      <c r="D613" s="127"/>
      <c r="E613" s="26"/>
      <c r="F613" s="26">
        <v>2</v>
      </c>
      <c r="G613" s="71">
        <v>1000</v>
      </c>
      <c r="H613" s="38">
        <f>F613*G613</f>
        <v>2000</v>
      </c>
    </row>
    <row r="614" spans="2:8">
      <c r="B614" s="125"/>
      <c r="C614" s="126"/>
      <c r="D614" s="127"/>
      <c r="E614" s="26"/>
      <c r="G614" s="71"/>
      <c r="H614" s="38">
        <f>F613*G614</f>
        <v>0</v>
      </c>
    </row>
    <row r="615" spans="2:8">
      <c r="B615" s="125"/>
      <c r="C615" s="126"/>
      <c r="D615" s="127"/>
      <c r="E615" s="26"/>
      <c r="F615" s="26"/>
      <c r="G615" s="71"/>
      <c r="H615" s="38">
        <f t="shared" ref="H615:H616" si="70">F615*G615</f>
        <v>0</v>
      </c>
    </row>
    <row r="616" spans="2:8">
      <c r="B616" s="125"/>
      <c r="C616" s="126"/>
      <c r="D616" s="127"/>
      <c r="E616" s="26"/>
      <c r="F616" s="26"/>
      <c r="G616" s="71"/>
      <c r="H616" s="38">
        <f t="shared" si="70"/>
        <v>0</v>
      </c>
    </row>
    <row r="617" spans="2:8">
      <c r="B617" s="35"/>
      <c r="C617" s="28"/>
      <c r="D617" s="28"/>
      <c r="E617" s="28"/>
      <c r="F617" s="28"/>
      <c r="G617" s="70" t="s">
        <v>103</v>
      </c>
      <c r="H617" s="41">
        <f>SUM(H613:H616)</f>
        <v>2000</v>
      </c>
    </row>
    <row r="618" spans="2:8">
      <c r="B618" s="35"/>
      <c r="C618" s="28"/>
      <c r="D618" s="28"/>
      <c r="E618" s="28"/>
      <c r="F618" s="28"/>
      <c r="G618" s="72"/>
      <c r="H618" s="36"/>
    </row>
    <row r="619" spans="2:8">
      <c r="B619" s="35"/>
      <c r="C619" s="28"/>
      <c r="D619" s="28"/>
      <c r="E619" s="28"/>
      <c r="F619" s="28"/>
      <c r="G619" s="72"/>
      <c r="H619" s="36"/>
    </row>
    <row r="620" spans="2:8">
      <c r="B620" s="35"/>
      <c r="C620" s="28"/>
      <c r="D620" s="28"/>
      <c r="E620" s="28"/>
      <c r="F620" s="28"/>
      <c r="G620" s="74" t="s">
        <v>49</v>
      </c>
      <c r="H620" s="44">
        <f>H587+H594+H602+H609+H617</f>
        <v>7723.384</v>
      </c>
    </row>
    <row r="621" spans="2:8" ht="15" thickBot="1">
      <c r="B621" s="45"/>
      <c r="C621" s="46"/>
      <c r="D621" s="46"/>
      <c r="E621" s="46"/>
      <c r="F621" s="46"/>
      <c r="G621" s="76"/>
      <c r="H621" s="47"/>
    </row>
    <row r="622" spans="2:8" s="60" customFormat="1">
      <c r="G622" s="77"/>
    </row>
    <row r="623" spans="2:8" s="60" customFormat="1" ht="15" thickBot="1">
      <c r="G623" s="77"/>
    </row>
    <row r="624" spans="2:8">
      <c r="B624" s="141" t="s">
        <v>81</v>
      </c>
      <c r="C624" s="142"/>
      <c r="D624" s="143" t="s">
        <v>135</v>
      </c>
      <c r="E624" s="144"/>
      <c r="F624" s="144"/>
      <c r="G624" s="144"/>
      <c r="H624" s="145"/>
    </row>
    <row r="625" spans="2:8">
      <c r="B625" s="146" t="s">
        <v>136</v>
      </c>
      <c r="C625" s="147"/>
      <c r="D625" s="147"/>
      <c r="E625" s="147"/>
      <c r="F625" s="147"/>
      <c r="G625" s="147"/>
      <c r="H625" s="148"/>
    </row>
    <row r="626" spans="2:8">
      <c r="B626" s="32" t="s">
        <v>83</v>
      </c>
      <c r="C626" s="26"/>
      <c r="D626" s="28"/>
      <c r="E626" s="28"/>
      <c r="F626" s="28"/>
      <c r="G626" s="70" t="s">
        <v>84</v>
      </c>
      <c r="H626" s="34" t="s">
        <v>29</v>
      </c>
    </row>
    <row r="627" spans="2:8">
      <c r="B627" s="35"/>
      <c r="C627" s="28"/>
      <c r="D627" s="28"/>
      <c r="E627" s="28"/>
      <c r="F627" s="28"/>
      <c r="G627" s="70" t="s">
        <v>85</v>
      </c>
      <c r="H627" s="61">
        <v>15.24</v>
      </c>
    </row>
    <row r="628" spans="2:8">
      <c r="B628" s="131" t="s">
        <v>86</v>
      </c>
      <c r="C628" s="132"/>
      <c r="D628" s="132"/>
      <c r="E628" s="132"/>
      <c r="F628" s="132"/>
      <c r="G628" s="132"/>
      <c r="H628" s="133"/>
    </row>
    <row r="629" spans="2:8">
      <c r="B629" s="128" t="s">
        <v>1</v>
      </c>
      <c r="C629" s="129"/>
      <c r="D629" s="130"/>
      <c r="E629" s="33" t="s">
        <v>84</v>
      </c>
      <c r="F629" s="33" t="s">
        <v>87</v>
      </c>
      <c r="G629" s="70" t="s">
        <v>63</v>
      </c>
      <c r="H629" s="37" t="s">
        <v>18</v>
      </c>
    </row>
    <row r="630" spans="2:8">
      <c r="B630" s="125" t="s">
        <v>137</v>
      </c>
      <c r="C630" s="126"/>
      <c r="D630" s="127"/>
      <c r="E630" s="26" t="s">
        <v>100</v>
      </c>
      <c r="F630" s="26">
        <v>1.05</v>
      </c>
      <c r="G630" s="71">
        <v>33000</v>
      </c>
      <c r="H630" s="38">
        <f t="shared" ref="H630:H632" si="71">F630*G630</f>
        <v>34650</v>
      </c>
    </row>
    <row r="631" spans="2:8">
      <c r="B631" s="125"/>
      <c r="C631" s="126"/>
      <c r="D631" s="127"/>
      <c r="E631" s="26"/>
      <c r="F631" s="26"/>
      <c r="G631" s="71"/>
      <c r="H631" s="38">
        <f t="shared" si="71"/>
        <v>0</v>
      </c>
    </row>
    <row r="632" spans="2:8">
      <c r="B632" s="125"/>
      <c r="C632" s="126"/>
      <c r="D632" s="127"/>
      <c r="E632" s="26"/>
      <c r="F632" s="26"/>
      <c r="G632" s="71"/>
      <c r="H632" s="38">
        <f t="shared" si="71"/>
        <v>0</v>
      </c>
    </row>
    <row r="633" spans="2:8">
      <c r="B633" s="39"/>
      <c r="C633" s="40"/>
      <c r="D633" s="40"/>
      <c r="E633" s="28"/>
      <c r="F633" s="28"/>
      <c r="G633" s="70" t="s">
        <v>88</v>
      </c>
      <c r="H633" s="41">
        <f>SUM(H630:H632)</f>
        <v>34650</v>
      </c>
    </row>
    <row r="634" spans="2:8">
      <c r="B634" s="35"/>
      <c r="C634" s="28"/>
      <c r="D634" s="28"/>
      <c r="E634" s="28"/>
      <c r="F634" s="28"/>
      <c r="G634" s="72"/>
      <c r="H634" s="36"/>
    </row>
    <row r="635" spans="2:8">
      <c r="B635" s="131" t="s">
        <v>89</v>
      </c>
      <c r="C635" s="132"/>
      <c r="D635" s="132"/>
      <c r="E635" s="132"/>
      <c r="F635" s="132"/>
      <c r="G635" s="132"/>
      <c r="H635" s="133"/>
    </row>
    <row r="636" spans="2:8">
      <c r="B636" s="128" t="s">
        <v>1</v>
      </c>
      <c r="C636" s="129"/>
      <c r="D636" s="130"/>
      <c r="E636" s="33" t="s">
        <v>90</v>
      </c>
      <c r="F636" s="33" t="s">
        <v>87</v>
      </c>
      <c r="G636" s="70" t="s">
        <v>63</v>
      </c>
      <c r="H636" s="37" t="s">
        <v>18</v>
      </c>
    </row>
    <row r="637" spans="2:8">
      <c r="B637" s="134" t="s">
        <v>138</v>
      </c>
      <c r="C637" s="135"/>
      <c r="D637" s="135"/>
      <c r="E637" s="2" t="s">
        <v>29</v>
      </c>
      <c r="F637" s="2">
        <v>1.05</v>
      </c>
      <c r="G637" s="71">
        <v>447258</v>
      </c>
      <c r="H637" s="38">
        <f>G637*F637</f>
        <v>469620.9</v>
      </c>
    </row>
    <row r="638" spans="2:8">
      <c r="B638" s="136" t="s">
        <v>139</v>
      </c>
      <c r="C638" s="137"/>
      <c r="D638" s="137"/>
      <c r="E638" s="2" t="s">
        <v>21</v>
      </c>
      <c r="F638" s="2">
        <v>6.5</v>
      </c>
      <c r="G638" s="71">
        <v>5252</v>
      </c>
      <c r="H638" s="38">
        <f t="shared" ref="H638:H641" si="72">G638*F638</f>
        <v>34138</v>
      </c>
    </row>
    <row r="639" spans="2:8">
      <c r="B639" s="149" t="s">
        <v>140</v>
      </c>
      <c r="C639" s="150"/>
      <c r="D639" s="151"/>
      <c r="E639" s="2" t="s">
        <v>21</v>
      </c>
      <c r="F639" s="2">
        <v>6.96</v>
      </c>
      <c r="G639" s="71">
        <v>1812</v>
      </c>
      <c r="H639" s="38">
        <f t="shared" si="72"/>
        <v>12611.52</v>
      </c>
    </row>
    <row r="640" spans="2:8">
      <c r="B640" s="138" t="s">
        <v>141</v>
      </c>
      <c r="C640" s="139"/>
      <c r="D640" s="140"/>
      <c r="E640" s="2" t="s">
        <v>21</v>
      </c>
      <c r="F640" s="2">
        <v>6.27</v>
      </c>
      <c r="G640" s="71">
        <v>1617</v>
      </c>
      <c r="H640" s="38">
        <f t="shared" si="72"/>
        <v>10138.59</v>
      </c>
    </row>
    <row r="641" spans="2:8">
      <c r="B641" s="136" t="s">
        <v>92</v>
      </c>
      <c r="C641" s="137"/>
      <c r="D641" s="137"/>
      <c r="E641" s="2" t="s">
        <v>93</v>
      </c>
      <c r="F641" s="2">
        <v>1.26</v>
      </c>
      <c r="G641" s="71">
        <v>3781</v>
      </c>
      <c r="H641" s="38">
        <f t="shared" si="72"/>
        <v>4764.0600000000004</v>
      </c>
    </row>
    <row r="642" spans="2:8">
      <c r="B642" s="35"/>
      <c r="C642" s="28"/>
      <c r="D642" s="28"/>
      <c r="E642" s="28"/>
      <c r="F642" s="28"/>
      <c r="G642" s="70" t="s">
        <v>97</v>
      </c>
      <c r="H642" s="41">
        <f>H638+H641+H637+H639+H640</f>
        <v>531273.07000000007</v>
      </c>
    </row>
    <row r="643" spans="2:8">
      <c r="B643" s="35"/>
      <c r="C643" s="28"/>
      <c r="D643" s="28"/>
      <c r="E643" s="28"/>
      <c r="F643" s="28"/>
      <c r="G643" s="72"/>
      <c r="H643" s="36"/>
    </row>
    <row r="644" spans="2:8">
      <c r="B644" s="131" t="s">
        <v>98</v>
      </c>
      <c r="C644" s="132"/>
      <c r="D644" s="132"/>
      <c r="E644" s="132"/>
      <c r="F644" s="132"/>
      <c r="G644" s="132"/>
      <c r="H644" s="133"/>
    </row>
    <row r="645" spans="2:8">
      <c r="B645" s="128" t="s">
        <v>1</v>
      </c>
      <c r="C645" s="129"/>
      <c r="D645" s="130"/>
      <c r="E645" s="33" t="s">
        <v>90</v>
      </c>
      <c r="F645" s="33" t="s">
        <v>87</v>
      </c>
      <c r="G645" s="70" t="s">
        <v>63</v>
      </c>
      <c r="H645" s="37" t="s">
        <v>18</v>
      </c>
    </row>
    <row r="646" spans="2:8">
      <c r="B646" s="125" t="s">
        <v>142</v>
      </c>
      <c r="C646" s="126"/>
      <c r="D646" s="127"/>
      <c r="E646" s="26" t="s">
        <v>100</v>
      </c>
      <c r="F646" s="26">
        <v>1.05</v>
      </c>
      <c r="G646" s="71">
        <v>95661</v>
      </c>
      <c r="H646" s="38">
        <f>F646*G646</f>
        <v>100444.05</v>
      </c>
    </row>
    <row r="647" spans="2:8">
      <c r="B647" s="125"/>
      <c r="C647" s="126"/>
      <c r="D647" s="127"/>
      <c r="E647" s="26"/>
      <c r="F647" s="26"/>
      <c r="G647" s="71"/>
      <c r="H647" s="38">
        <f t="shared" ref="H647:H649" si="73">F647*G647</f>
        <v>0</v>
      </c>
    </row>
    <row r="648" spans="2:8">
      <c r="B648" s="125"/>
      <c r="C648" s="126"/>
      <c r="D648" s="127"/>
      <c r="E648" s="26"/>
      <c r="F648" s="26"/>
      <c r="G648" s="71"/>
      <c r="H648" s="38">
        <f t="shared" si="73"/>
        <v>0</v>
      </c>
    </row>
    <row r="649" spans="2:8">
      <c r="B649" s="125"/>
      <c r="C649" s="126"/>
      <c r="D649" s="127"/>
      <c r="E649" s="26"/>
      <c r="F649" s="26"/>
      <c r="G649" s="71"/>
      <c r="H649" s="38">
        <f t="shared" si="73"/>
        <v>0</v>
      </c>
    </row>
    <row r="650" spans="2:8">
      <c r="B650" s="35"/>
      <c r="C650" s="28"/>
      <c r="D650" s="28"/>
      <c r="E650" s="28"/>
      <c r="F650" s="28"/>
      <c r="G650" s="70" t="s">
        <v>101</v>
      </c>
      <c r="H650" s="41">
        <f>SUM(H646:H649)</f>
        <v>100444.05</v>
      </c>
    </row>
    <row r="651" spans="2:8">
      <c r="B651" s="35"/>
      <c r="C651" s="28"/>
      <c r="D651" s="28"/>
      <c r="E651" s="28"/>
      <c r="F651" s="28"/>
      <c r="G651" s="72"/>
      <c r="H651" s="36"/>
    </row>
    <row r="652" spans="2:8">
      <c r="B652" s="131" t="s">
        <v>102</v>
      </c>
      <c r="C652" s="132"/>
      <c r="D652" s="132"/>
      <c r="E652" s="132"/>
      <c r="F652" s="132"/>
      <c r="G652" s="132"/>
      <c r="H652" s="133"/>
    </row>
    <row r="653" spans="2:8">
      <c r="B653" s="128" t="s">
        <v>1</v>
      </c>
      <c r="C653" s="129"/>
      <c r="D653" s="130"/>
      <c r="E653" s="33" t="s">
        <v>90</v>
      </c>
      <c r="F653" s="33" t="s">
        <v>87</v>
      </c>
      <c r="G653" s="70" t="s">
        <v>63</v>
      </c>
      <c r="H653" s="37" t="s">
        <v>18</v>
      </c>
    </row>
    <row r="654" spans="2:8">
      <c r="B654" s="125"/>
      <c r="C654" s="126"/>
      <c r="D654" s="127"/>
      <c r="E654" s="26"/>
      <c r="F654" s="26"/>
      <c r="G654" s="71"/>
      <c r="H654" s="38">
        <f t="shared" ref="H654:H656" si="74">F654*G654</f>
        <v>0</v>
      </c>
    </row>
    <row r="655" spans="2:8">
      <c r="B655" s="125"/>
      <c r="C655" s="126"/>
      <c r="D655" s="127"/>
      <c r="E655" s="26"/>
      <c r="F655" s="26"/>
      <c r="G655" s="71"/>
      <c r="H655" s="38">
        <f t="shared" si="74"/>
        <v>0</v>
      </c>
    </row>
    <row r="656" spans="2:8">
      <c r="B656" s="125"/>
      <c r="C656" s="126"/>
      <c r="D656" s="127"/>
      <c r="E656" s="26"/>
      <c r="F656" s="26"/>
      <c r="G656" s="71"/>
      <c r="H656" s="38">
        <f t="shared" si="74"/>
        <v>0</v>
      </c>
    </row>
    <row r="657" spans="2:8">
      <c r="B657" s="35"/>
      <c r="C657" s="28"/>
      <c r="D657" s="28"/>
      <c r="E657" s="28"/>
      <c r="F657" s="28"/>
      <c r="G657" s="70" t="s">
        <v>103</v>
      </c>
      <c r="H657" s="41">
        <f>SUM(H654:H656)</f>
        <v>0</v>
      </c>
    </row>
    <row r="658" spans="2:8">
      <c r="B658" s="35"/>
      <c r="C658" s="28"/>
      <c r="D658" s="28"/>
      <c r="E658" s="28"/>
      <c r="F658" s="28"/>
      <c r="G658" s="72"/>
      <c r="H658" s="36"/>
    </row>
    <row r="659" spans="2:8">
      <c r="B659" s="131" t="s">
        <v>104</v>
      </c>
      <c r="C659" s="132"/>
      <c r="D659" s="132"/>
      <c r="E659" s="132"/>
      <c r="F659" s="132"/>
      <c r="G659" s="132"/>
      <c r="H659" s="133"/>
    </row>
    <row r="660" spans="2:8">
      <c r="B660" s="128" t="s">
        <v>1</v>
      </c>
      <c r="C660" s="129"/>
      <c r="D660" s="130"/>
      <c r="E660" s="33" t="s">
        <v>90</v>
      </c>
      <c r="F660" s="33" t="s">
        <v>87</v>
      </c>
      <c r="G660" s="70" t="s">
        <v>63</v>
      </c>
      <c r="H660" s="37" t="s">
        <v>18</v>
      </c>
    </row>
    <row r="661" spans="2:8">
      <c r="B661" s="125" t="s">
        <v>105</v>
      </c>
      <c r="C661" s="126"/>
      <c r="D661" s="127"/>
      <c r="E661" s="26"/>
      <c r="F661" s="43">
        <v>2</v>
      </c>
      <c r="G661" s="71">
        <v>1000</v>
      </c>
      <c r="H661" s="38">
        <f t="shared" ref="H661:H664" si="75">F661*G661</f>
        <v>2000</v>
      </c>
    </row>
    <row r="662" spans="2:8">
      <c r="B662" s="125"/>
      <c r="C662" s="126"/>
      <c r="D662" s="127"/>
      <c r="E662" s="26"/>
      <c r="F662" s="26"/>
      <c r="G662" s="71"/>
      <c r="H662" s="38">
        <f t="shared" si="75"/>
        <v>0</v>
      </c>
    </row>
    <row r="663" spans="2:8">
      <c r="B663" s="125"/>
      <c r="C663" s="126"/>
      <c r="D663" s="127"/>
      <c r="E663" s="26"/>
      <c r="F663" s="26"/>
      <c r="G663" s="71"/>
      <c r="H663" s="38">
        <f t="shared" si="75"/>
        <v>0</v>
      </c>
    </row>
    <row r="664" spans="2:8">
      <c r="B664" s="125"/>
      <c r="C664" s="126"/>
      <c r="D664" s="127"/>
      <c r="E664" s="26"/>
      <c r="F664" s="26"/>
      <c r="G664" s="71"/>
      <c r="H664" s="38">
        <f t="shared" si="75"/>
        <v>0</v>
      </c>
    </row>
    <row r="665" spans="2:8">
      <c r="B665" s="35"/>
      <c r="C665" s="28"/>
      <c r="D665" s="28"/>
      <c r="E665" s="28"/>
      <c r="F665" s="28"/>
      <c r="G665" s="70" t="s">
        <v>103</v>
      </c>
      <c r="H665" s="41">
        <f>SUM(H661:H664)</f>
        <v>2000</v>
      </c>
    </row>
    <row r="666" spans="2:8">
      <c r="B666" s="35"/>
      <c r="C666" s="28"/>
      <c r="D666" s="28"/>
      <c r="E666" s="28"/>
      <c r="F666" s="28"/>
      <c r="G666" s="72"/>
      <c r="H666" s="36"/>
    </row>
    <row r="667" spans="2:8">
      <c r="B667" s="35"/>
      <c r="C667" s="28"/>
      <c r="D667" s="28"/>
      <c r="E667" s="28"/>
      <c r="F667" s="28"/>
      <c r="G667" s="72"/>
      <c r="H667" s="36"/>
    </row>
    <row r="668" spans="2:8">
      <c r="B668" s="35"/>
      <c r="C668" s="28"/>
      <c r="D668" s="28"/>
      <c r="E668" s="28"/>
      <c r="F668" s="28"/>
      <c r="G668" s="74" t="s">
        <v>49</v>
      </c>
      <c r="H668" s="44">
        <f>H633+H642+H650+H657+H665</f>
        <v>668367.12000000011</v>
      </c>
    </row>
    <row r="669" spans="2:8" ht="15" thickBot="1">
      <c r="B669" s="45"/>
      <c r="C669" s="46"/>
      <c r="D669" s="46"/>
      <c r="E669" s="46"/>
      <c r="F669" s="46"/>
      <c r="G669" s="76"/>
      <c r="H669" s="47"/>
    </row>
    <row r="670" spans="2:8" s="60" customFormat="1">
      <c r="G670" s="77"/>
    </row>
    <row r="671" spans="2:8" s="60" customFormat="1" ht="15" thickBot="1">
      <c r="G671" s="77"/>
    </row>
    <row r="672" spans="2:8">
      <c r="B672" s="141" t="s">
        <v>81</v>
      </c>
      <c r="C672" s="142"/>
      <c r="D672" s="143" t="s">
        <v>135</v>
      </c>
      <c r="E672" s="144"/>
      <c r="F672" s="144"/>
      <c r="G672" s="144"/>
      <c r="H672" s="145"/>
    </row>
    <row r="673" spans="2:8">
      <c r="B673" s="146" t="s">
        <v>143</v>
      </c>
      <c r="C673" s="147"/>
      <c r="D673" s="147"/>
      <c r="E673" s="147"/>
      <c r="F673" s="147"/>
      <c r="G673" s="147"/>
      <c r="H673" s="148"/>
    </row>
    <row r="674" spans="2:8">
      <c r="B674" s="32" t="s">
        <v>83</v>
      </c>
      <c r="C674" s="26"/>
      <c r="D674" s="28"/>
      <c r="E674" s="28"/>
      <c r="F674" s="28"/>
      <c r="G674" s="70" t="s">
        <v>84</v>
      </c>
      <c r="H674" s="34" t="s">
        <v>29</v>
      </c>
    </row>
    <row r="675" spans="2:8">
      <c r="B675" s="35"/>
      <c r="C675" s="28"/>
      <c r="D675" s="28"/>
      <c r="E675" s="28"/>
      <c r="F675" s="28"/>
      <c r="G675" s="70" t="s">
        <v>85</v>
      </c>
      <c r="H675" s="61">
        <v>1.03</v>
      </c>
    </row>
    <row r="676" spans="2:8">
      <c r="B676" s="131" t="s">
        <v>86</v>
      </c>
      <c r="C676" s="132"/>
      <c r="D676" s="132"/>
      <c r="E676" s="132"/>
      <c r="F676" s="132"/>
      <c r="G676" s="132"/>
      <c r="H676" s="133"/>
    </row>
    <row r="677" spans="2:8">
      <c r="B677" s="128" t="s">
        <v>1</v>
      </c>
      <c r="C677" s="129"/>
      <c r="D677" s="130"/>
      <c r="E677" s="33" t="s">
        <v>84</v>
      </c>
      <c r="F677" s="33" t="s">
        <v>87</v>
      </c>
      <c r="G677" s="70" t="s">
        <v>63</v>
      </c>
      <c r="H677" s="37" t="s">
        <v>18</v>
      </c>
    </row>
    <row r="678" spans="2:8">
      <c r="B678" s="125" t="s">
        <v>137</v>
      </c>
      <c r="C678" s="126"/>
      <c r="D678" s="127"/>
      <c r="E678" s="26" t="s">
        <v>100</v>
      </c>
      <c r="F678" s="26">
        <v>7.2999999999999995E-2</v>
      </c>
      <c r="G678" s="71">
        <v>33000</v>
      </c>
      <c r="H678" s="38">
        <f t="shared" ref="H678:H680" si="76">F678*G678</f>
        <v>2409</v>
      </c>
    </row>
    <row r="679" spans="2:8">
      <c r="B679" s="125"/>
      <c r="C679" s="126"/>
      <c r="D679" s="127"/>
      <c r="E679" s="26"/>
      <c r="F679" s="26"/>
      <c r="G679" s="71"/>
      <c r="H679" s="38">
        <f t="shared" si="76"/>
        <v>0</v>
      </c>
    </row>
    <row r="680" spans="2:8">
      <c r="B680" s="125"/>
      <c r="C680" s="126"/>
      <c r="D680" s="127"/>
      <c r="E680" s="26"/>
      <c r="F680" s="26"/>
      <c r="G680" s="71"/>
      <c r="H680" s="38">
        <f t="shared" si="76"/>
        <v>0</v>
      </c>
    </row>
    <row r="681" spans="2:8">
      <c r="B681" s="39"/>
      <c r="C681" s="40"/>
      <c r="D681" s="40"/>
      <c r="E681" s="28"/>
      <c r="F681" s="28"/>
      <c r="G681" s="70" t="s">
        <v>88</v>
      </c>
      <c r="H681" s="41">
        <f>SUM(H678:H680)</f>
        <v>2409</v>
      </c>
    </row>
    <row r="682" spans="2:8">
      <c r="B682" s="35"/>
      <c r="C682" s="28"/>
      <c r="D682" s="28"/>
      <c r="E682" s="28"/>
      <c r="F682" s="28"/>
      <c r="G682" s="72"/>
      <c r="H682" s="36"/>
    </row>
    <row r="683" spans="2:8">
      <c r="B683" s="131" t="s">
        <v>89</v>
      </c>
      <c r="C683" s="132"/>
      <c r="D683" s="132"/>
      <c r="E683" s="132"/>
      <c r="F683" s="132"/>
      <c r="G683" s="132"/>
      <c r="H683" s="133"/>
    </row>
    <row r="684" spans="2:8">
      <c r="B684" s="128" t="s">
        <v>1</v>
      </c>
      <c r="C684" s="129"/>
      <c r="D684" s="130"/>
      <c r="E684" s="33" t="s">
        <v>90</v>
      </c>
      <c r="F684" s="33" t="s">
        <v>87</v>
      </c>
      <c r="G684" s="70" t="s">
        <v>63</v>
      </c>
      <c r="H684" s="37" t="s">
        <v>18</v>
      </c>
    </row>
    <row r="685" spans="2:8">
      <c r="B685" s="134" t="s">
        <v>138</v>
      </c>
      <c r="C685" s="135"/>
      <c r="D685" s="135"/>
      <c r="E685" s="2" t="s">
        <v>29</v>
      </c>
      <c r="F685" s="2">
        <v>1.05</v>
      </c>
      <c r="G685" s="71">
        <v>447258</v>
      </c>
      <c r="H685" s="38">
        <f>G685*F685</f>
        <v>469620.9</v>
      </c>
    </row>
    <row r="686" spans="2:8">
      <c r="B686" s="136" t="s">
        <v>139</v>
      </c>
      <c r="C686" s="137"/>
      <c r="D686" s="137"/>
      <c r="E686" s="2" t="s">
        <v>21</v>
      </c>
      <c r="F686" s="2">
        <v>13</v>
      </c>
      <c r="G686" s="71">
        <v>5252</v>
      </c>
      <c r="H686" s="38">
        <f t="shared" ref="H686:H689" si="77">G686*F686</f>
        <v>68276</v>
      </c>
    </row>
    <row r="687" spans="2:8">
      <c r="B687" s="149" t="s">
        <v>140</v>
      </c>
      <c r="C687" s="150"/>
      <c r="D687" s="151"/>
      <c r="E687" s="2" t="s">
        <v>21</v>
      </c>
      <c r="F687" s="2">
        <v>13.92</v>
      </c>
      <c r="G687" s="71">
        <v>1812</v>
      </c>
      <c r="H687" s="38">
        <f t="shared" si="77"/>
        <v>25223.040000000001</v>
      </c>
    </row>
    <row r="688" spans="2:8">
      <c r="B688" s="138" t="s">
        <v>141</v>
      </c>
      <c r="C688" s="139"/>
      <c r="D688" s="140"/>
      <c r="E688" s="2" t="s">
        <v>21</v>
      </c>
      <c r="F688" s="2">
        <v>12.54</v>
      </c>
      <c r="G688" s="71">
        <v>1617</v>
      </c>
      <c r="H688" s="38">
        <f t="shared" si="77"/>
        <v>20277.18</v>
      </c>
    </row>
    <row r="689" spans="2:8">
      <c r="B689" s="136" t="s">
        <v>92</v>
      </c>
      <c r="C689" s="137"/>
      <c r="D689" s="137"/>
      <c r="E689" s="2" t="s">
        <v>93</v>
      </c>
      <c r="F689" s="2">
        <v>2.52</v>
      </c>
      <c r="G689" s="71">
        <v>3781</v>
      </c>
      <c r="H689" s="38">
        <f t="shared" si="77"/>
        <v>9528.1200000000008</v>
      </c>
    </row>
    <row r="690" spans="2:8">
      <c r="B690" s="35"/>
      <c r="C690" s="28"/>
      <c r="D690" s="28"/>
      <c r="E690" s="28"/>
      <c r="F690" s="28"/>
      <c r="G690" s="70" t="s">
        <v>97</v>
      </c>
      <c r="H690" s="41">
        <f>H686+H689+H685+H687+H688</f>
        <v>592925.24000000011</v>
      </c>
    </row>
    <row r="691" spans="2:8">
      <c r="B691" s="35"/>
      <c r="C691" s="28"/>
      <c r="D691" s="28"/>
      <c r="E691" s="28"/>
      <c r="F691" s="28"/>
      <c r="G691" s="72"/>
      <c r="H691" s="36"/>
    </row>
    <row r="692" spans="2:8">
      <c r="B692" s="131" t="s">
        <v>98</v>
      </c>
      <c r="C692" s="132"/>
      <c r="D692" s="132"/>
      <c r="E692" s="132"/>
      <c r="F692" s="132"/>
      <c r="G692" s="132"/>
      <c r="H692" s="133"/>
    </row>
    <row r="693" spans="2:8">
      <c r="B693" s="128" t="s">
        <v>1</v>
      </c>
      <c r="C693" s="129"/>
      <c r="D693" s="130"/>
      <c r="E693" s="33" t="s">
        <v>90</v>
      </c>
      <c r="F693" s="33" t="s">
        <v>87</v>
      </c>
      <c r="G693" s="70" t="s">
        <v>63</v>
      </c>
      <c r="H693" s="37" t="s">
        <v>18</v>
      </c>
    </row>
    <row r="694" spans="2:8">
      <c r="B694" s="125" t="s">
        <v>142</v>
      </c>
      <c r="C694" s="126"/>
      <c r="D694" s="127"/>
      <c r="E694" s="26" t="s">
        <v>100</v>
      </c>
      <c r="F694" s="26">
        <v>13.59</v>
      </c>
      <c r="G694" s="71">
        <v>95661</v>
      </c>
      <c r="H694" s="38">
        <f>F694*G694</f>
        <v>1300032.99</v>
      </c>
    </row>
    <row r="695" spans="2:8">
      <c r="B695" s="125"/>
      <c r="C695" s="126"/>
      <c r="D695" s="127"/>
      <c r="E695" s="26"/>
      <c r="F695" s="26"/>
      <c r="G695" s="71"/>
      <c r="H695" s="38">
        <f t="shared" ref="H695:H697" si="78">F695*G695</f>
        <v>0</v>
      </c>
    </row>
    <row r="696" spans="2:8">
      <c r="B696" s="125"/>
      <c r="C696" s="126"/>
      <c r="D696" s="127"/>
      <c r="E696" s="26"/>
      <c r="F696" s="26"/>
      <c r="G696" s="71"/>
      <c r="H696" s="38">
        <f t="shared" si="78"/>
        <v>0</v>
      </c>
    </row>
    <row r="697" spans="2:8">
      <c r="B697" s="125"/>
      <c r="C697" s="126"/>
      <c r="D697" s="127"/>
      <c r="E697" s="26"/>
      <c r="F697" s="26"/>
      <c r="G697" s="71"/>
      <c r="H697" s="38">
        <f t="shared" si="78"/>
        <v>0</v>
      </c>
    </row>
    <row r="698" spans="2:8">
      <c r="B698" s="35"/>
      <c r="C698" s="28"/>
      <c r="D698" s="28"/>
      <c r="E698" s="28"/>
      <c r="F698" s="28"/>
      <c r="G698" s="70" t="s">
        <v>101</v>
      </c>
      <c r="H698" s="41">
        <f>SUM(H694:H697)</f>
        <v>1300032.99</v>
      </c>
    </row>
    <row r="699" spans="2:8">
      <c r="B699" s="35"/>
      <c r="C699" s="28"/>
      <c r="D699" s="28"/>
      <c r="E699" s="28"/>
      <c r="F699" s="28"/>
      <c r="G699" s="72"/>
      <c r="H699" s="36"/>
    </row>
    <row r="700" spans="2:8">
      <c r="B700" s="131" t="s">
        <v>102</v>
      </c>
      <c r="C700" s="132"/>
      <c r="D700" s="132"/>
      <c r="E700" s="132"/>
      <c r="F700" s="132"/>
      <c r="G700" s="132"/>
      <c r="H700" s="133"/>
    </row>
    <row r="701" spans="2:8">
      <c r="B701" s="128" t="s">
        <v>1</v>
      </c>
      <c r="C701" s="129"/>
      <c r="D701" s="130"/>
      <c r="E701" s="33" t="s">
        <v>90</v>
      </c>
      <c r="F701" s="33" t="s">
        <v>87</v>
      </c>
      <c r="G701" s="70" t="s">
        <v>63</v>
      </c>
      <c r="H701" s="37" t="s">
        <v>18</v>
      </c>
    </row>
    <row r="702" spans="2:8">
      <c r="B702" s="125"/>
      <c r="C702" s="126"/>
      <c r="D702" s="127"/>
      <c r="E702" s="26"/>
      <c r="F702" s="26"/>
      <c r="G702" s="71"/>
      <c r="H702" s="38">
        <f t="shared" ref="H702:H704" si="79">F702*G702</f>
        <v>0</v>
      </c>
    </row>
    <row r="703" spans="2:8">
      <c r="B703" s="125"/>
      <c r="C703" s="126"/>
      <c r="D703" s="127"/>
      <c r="E703" s="26"/>
      <c r="F703" s="26"/>
      <c r="G703" s="71"/>
      <c r="H703" s="38">
        <f t="shared" si="79"/>
        <v>0</v>
      </c>
    </row>
    <row r="704" spans="2:8">
      <c r="B704" s="125"/>
      <c r="C704" s="126"/>
      <c r="D704" s="127"/>
      <c r="E704" s="26"/>
      <c r="F704" s="26"/>
      <c r="G704" s="71"/>
      <c r="H704" s="38">
        <f t="shared" si="79"/>
        <v>0</v>
      </c>
    </row>
    <row r="705" spans="2:8">
      <c r="B705" s="35"/>
      <c r="C705" s="28"/>
      <c r="D705" s="28"/>
      <c r="E705" s="28"/>
      <c r="F705" s="28"/>
      <c r="G705" s="70" t="s">
        <v>103</v>
      </c>
      <c r="H705" s="41">
        <f>SUM(H702:H704)</f>
        <v>0</v>
      </c>
    </row>
    <row r="706" spans="2:8">
      <c r="B706" s="35"/>
      <c r="C706" s="28"/>
      <c r="D706" s="28"/>
      <c r="E706" s="28"/>
      <c r="F706" s="28"/>
      <c r="G706" s="72"/>
      <c r="H706" s="36"/>
    </row>
    <row r="707" spans="2:8">
      <c r="B707" s="131" t="s">
        <v>104</v>
      </c>
      <c r="C707" s="132"/>
      <c r="D707" s="132"/>
      <c r="E707" s="132"/>
      <c r="F707" s="132"/>
      <c r="G707" s="132"/>
      <c r="H707" s="133"/>
    </row>
    <row r="708" spans="2:8">
      <c r="B708" s="128" t="s">
        <v>1</v>
      </c>
      <c r="C708" s="129"/>
      <c r="D708" s="130"/>
      <c r="E708" s="33" t="s">
        <v>90</v>
      </c>
      <c r="F708" s="33" t="s">
        <v>87</v>
      </c>
      <c r="G708" s="70" t="s">
        <v>63</v>
      </c>
      <c r="H708" s="37" t="s">
        <v>18</v>
      </c>
    </row>
    <row r="709" spans="2:8">
      <c r="B709" s="125" t="s">
        <v>105</v>
      </c>
      <c r="C709" s="126"/>
      <c r="D709" s="127"/>
      <c r="E709" s="26"/>
      <c r="F709" s="43">
        <v>2</v>
      </c>
      <c r="G709" s="71">
        <v>1000</v>
      </c>
      <c r="H709" s="38">
        <f t="shared" ref="H709:H712" si="80">F709*G709</f>
        <v>2000</v>
      </c>
    </row>
    <row r="710" spans="2:8">
      <c r="B710" s="125"/>
      <c r="C710" s="126"/>
      <c r="D710" s="127"/>
      <c r="E710" s="26"/>
      <c r="F710" s="26"/>
      <c r="G710" s="71"/>
      <c r="H710" s="38">
        <f t="shared" si="80"/>
        <v>0</v>
      </c>
    </row>
    <row r="711" spans="2:8">
      <c r="B711" s="125"/>
      <c r="C711" s="126"/>
      <c r="D711" s="127"/>
      <c r="E711" s="26"/>
      <c r="F711" s="26"/>
      <c r="G711" s="71"/>
      <c r="H711" s="38">
        <f t="shared" si="80"/>
        <v>0</v>
      </c>
    </row>
    <row r="712" spans="2:8">
      <c r="B712" s="125"/>
      <c r="C712" s="126"/>
      <c r="D712" s="127"/>
      <c r="E712" s="26"/>
      <c r="F712" s="26"/>
      <c r="G712" s="71"/>
      <c r="H712" s="38">
        <f t="shared" si="80"/>
        <v>0</v>
      </c>
    </row>
    <row r="713" spans="2:8">
      <c r="B713" s="35"/>
      <c r="C713" s="28"/>
      <c r="D713" s="28"/>
      <c r="E713" s="28"/>
      <c r="F713" s="28"/>
      <c r="G713" s="70" t="s">
        <v>103</v>
      </c>
      <c r="H713" s="41">
        <f>SUM(H709:H712)</f>
        <v>2000</v>
      </c>
    </row>
    <row r="714" spans="2:8">
      <c r="B714" s="35"/>
      <c r="C714" s="28"/>
      <c r="D714" s="28"/>
      <c r="E714" s="28"/>
      <c r="F714" s="28"/>
      <c r="G714" s="72"/>
      <c r="H714" s="36"/>
    </row>
    <row r="715" spans="2:8">
      <c r="B715" s="35"/>
      <c r="C715" s="28"/>
      <c r="D715" s="28"/>
      <c r="E715" s="28"/>
      <c r="F715" s="28"/>
      <c r="G715" s="72"/>
      <c r="H715" s="36"/>
    </row>
    <row r="716" spans="2:8">
      <c r="B716" s="35"/>
      <c r="C716" s="28"/>
      <c r="D716" s="28"/>
      <c r="E716" s="28"/>
      <c r="F716" s="28"/>
      <c r="G716" s="74" t="s">
        <v>49</v>
      </c>
      <c r="H716" s="44">
        <f>H681+H690+H698+H705+H713</f>
        <v>1897367.23</v>
      </c>
    </row>
    <row r="717" spans="2:8" ht="15" thickBot="1">
      <c r="B717" s="45"/>
      <c r="C717" s="46"/>
      <c r="D717" s="46"/>
      <c r="E717" s="46"/>
      <c r="F717" s="46"/>
      <c r="G717" s="76"/>
      <c r="H717" s="47"/>
    </row>
    <row r="718" spans="2:8" s="60" customFormat="1">
      <c r="G718" s="77"/>
    </row>
    <row r="719" spans="2:8" s="60" customFormat="1" ht="15" thickBot="1">
      <c r="G719" s="77"/>
    </row>
    <row r="720" spans="2:8">
      <c r="B720" s="141" t="s">
        <v>81</v>
      </c>
      <c r="C720" s="142"/>
      <c r="D720" s="143" t="s">
        <v>135</v>
      </c>
      <c r="E720" s="144"/>
      <c r="F720" s="144"/>
      <c r="G720" s="144"/>
      <c r="H720" s="145"/>
    </row>
    <row r="721" spans="2:8">
      <c r="B721" s="146" t="s">
        <v>144</v>
      </c>
      <c r="C721" s="147"/>
      <c r="D721" s="147"/>
      <c r="E721" s="147"/>
      <c r="F721" s="147"/>
      <c r="G721" s="147"/>
      <c r="H721" s="148"/>
    </row>
    <row r="722" spans="2:8">
      <c r="B722" s="32" t="s">
        <v>83</v>
      </c>
      <c r="C722" s="26"/>
      <c r="D722" s="28"/>
      <c r="E722" s="28"/>
      <c r="F722" s="28"/>
      <c r="G722" s="70" t="s">
        <v>84</v>
      </c>
      <c r="H722" s="34" t="s">
        <v>29</v>
      </c>
    </row>
    <row r="723" spans="2:8">
      <c r="B723" s="35"/>
      <c r="C723" s="28"/>
      <c r="D723" s="28"/>
      <c r="E723" s="28"/>
      <c r="F723" s="28"/>
      <c r="G723" s="70" t="s">
        <v>85</v>
      </c>
      <c r="H723" s="61">
        <v>2.48</v>
      </c>
    </row>
    <row r="724" spans="2:8">
      <c r="B724" s="131" t="s">
        <v>86</v>
      </c>
      <c r="C724" s="132"/>
      <c r="D724" s="132"/>
      <c r="E724" s="132"/>
      <c r="F724" s="132"/>
      <c r="G724" s="132"/>
      <c r="H724" s="133"/>
    </row>
    <row r="725" spans="2:8">
      <c r="B725" s="128" t="s">
        <v>1</v>
      </c>
      <c r="C725" s="129"/>
      <c r="D725" s="130"/>
      <c r="E725" s="33" t="s">
        <v>84</v>
      </c>
      <c r="F725" s="33" t="s">
        <v>87</v>
      </c>
      <c r="G725" s="70" t="s">
        <v>63</v>
      </c>
      <c r="H725" s="37" t="s">
        <v>18</v>
      </c>
    </row>
    <row r="726" spans="2:8">
      <c r="B726" s="125" t="s">
        <v>137</v>
      </c>
      <c r="C726" s="126"/>
      <c r="D726" s="127"/>
      <c r="E726" s="26" t="s">
        <v>145</v>
      </c>
      <c r="F726" s="26">
        <v>0.2</v>
      </c>
      <c r="G726" s="71">
        <v>33000</v>
      </c>
      <c r="H726" s="38">
        <f t="shared" ref="H726:H728" si="81">F726*G726</f>
        <v>6600</v>
      </c>
    </row>
    <row r="727" spans="2:8" ht="22.15" customHeight="1">
      <c r="B727" s="125" t="s">
        <v>146</v>
      </c>
      <c r="C727" s="126"/>
      <c r="D727" s="127"/>
      <c r="E727" s="26" t="s">
        <v>145</v>
      </c>
      <c r="F727" s="26">
        <v>5.64</v>
      </c>
      <c r="G727" s="71">
        <v>5200</v>
      </c>
      <c r="H727" s="38">
        <f t="shared" si="81"/>
        <v>29328</v>
      </c>
    </row>
    <row r="728" spans="2:8">
      <c r="B728" s="125"/>
      <c r="C728" s="126"/>
      <c r="D728" s="127"/>
      <c r="E728" s="26"/>
      <c r="F728" s="26"/>
      <c r="G728" s="71"/>
      <c r="H728" s="38">
        <f t="shared" si="81"/>
        <v>0</v>
      </c>
    </row>
    <row r="729" spans="2:8">
      <c r="B729" s="39"/>
      <c r="C729" s="40"/>
      <c r="D729" s="40"/>
      <c r="E729" s="28"/>
      <c r="F729" s="28"/>
      <c r="G729" s="70" t="s">
        <v>88</v>
      </c>
      <c r="H729" s="41">
        <f>SUM(H726:H728)</f>
        <v>35928</v>
      </c>
    </row>
    <row r="730" spans="2:8">
      <c r="B730" s="35"/>
      <c r="C730" s="28"/>
      <c r="D730" s="28"/>
      <c r="E730" s="28"/>
      <c r="F730" s="28"/>
      <c r="G730" s="72"/>
      <c r="H730" s="36"/>
    </row>
    <row r="731" spans="2:8">
      <c r="B731" s="131" t="s">
        <v>89</v>
      </c>
      <c r="C731" s="132"/>
      <c r="D731" s="132"/>
      <c r="E731" s="132"/>
      <c r="F731" s="132"/>
      <c r="G731" s="132"/>
      <c r="H731" s="133"/>
    </row>
    <row r="732" spans="2:8">
      <c r="B732" s="128" t="s">
        <v>1</v>
      </c>
      <c r="C732" s="129"/>
      <c r="D732" s="130"/>
      <c r="E732" s="33" t="s">
        <v>90</v>
      </c>
      <c r="F732" s="33" t="s">
        <v>87</v>
      </c>
      <c r="G732" s="70" t="s">
        <v>63</v>
      </c>
      <c r="H732" s="37" t="s">
        <v>18</v>
      </c>
    </row>
    <row r="733" spans="2:8">
      <c r="B733" s="134" t="s">
        <v>138</v>
      </c>
      <c r="C733" s="135"/>
      <c r="D733" s="135"/>
      <c r="E733" s="2" t="s">
        <v>29</v>
      </c>
      <c r="F733" s="2">
        <v>1.05</v>
      </c>
      <c r="G733" s="71">
        <v>447258</v>
      </c>
      <c r="H733" s="38">
        <f>G733*F733</f>
        <v>469620.9</v>
      </c>
    </row>
    <row r="734" spans="2:8">
      <c r="B734" s="136" t="s">
        <v>139</v>
      </c>
      <c r="C734" s="137"/>
      <c r="D734" s="137"/>
      <c r="E734" s="2" t="s">
        <v>21</v>
      </c>
      <c r="F734" s="2">
        <v>6.5</v>
      </c>
      <c r="G734" s="71">
        <v>5252</v>
      </c>
      <c r="H734" s="38">
        <f t="shared" ref="H734:H737" si="82">G734*F734</f>
        <v>34138</v>
      </c>
    </row>
    <row r="735" spans="2:8">
      <c r="B735" s="149" t="s">
        <v>140</v>
      </c>
      <c r="C735" s="150"/>
      <c r="D735" s="151"/>
      <c r="E735" s="2" t="s">
        <v>21</v>
      </c>
      <c r="F735" s="2">
        <v>6.96</v>
      </c>
      <c r="G735" s="71">
        <v>1812</v>
      </c>
      <c r="H735" s="38">
        <f t="shared" si="82"/>
        <v>12611.52</v>
      </c>
    </row>
    <row r="736" spans="2:8">
      <c r="B736" s="138" t="s">
        <v>141</v>
      </c>
      <c r="C736" s="139"/>
      <c r="D736" s="140"/>
      <c r="E736" s="2" t="s">
        <v>21</v>
      </c>
      <c r="F736" s="2">
        <v>6.27</v>
      </c>
      <c r="G736" s="71">
        <v>1617</v>
      </c>
      <c r="H736" s="38">
        <f t="shared" si="82"/>
        <v>10138.59</v>
      </c>
    </row>
    <row r="737" spans="2:8">
      <c r="B737" s="136" t="s">
        <v>92</v>
      </c>
      <c r="C737" s="137"/>
      <c r="D737" s="137"/>
      <c r="E737" s="2" t="s">
        <v>93</v>
      </c>
      <c r="F737" s="2">
        <v>1.26</v>
      </c>
      <c r="G737" s="71">
        <v>3781</v>
      </c>
      <c r="H737" s="38">
        <f t="shared" si="82"/>
        <v>4764.0600000000004</v>
      </c>
    </row>
    <row r="738" spans="2:8">
      <c r="B738" s="35"/>
      <c r="C738" s="28"/>
      <c r="D738" s="28"/>
      <c r="E738" s="28"/>
      <c r="F738" s="28"/>
      <c r="G738" s="70" t="s">
        <v>97</v>
      </c>
      <c r="H738" s="41">
        <f>H734+H737+H733+H735+H736</f>
        <v>531273.07000000007</v>
      </c>
    </row>
    <row r="739" spans="2:8">
      <c r="B739" s="35"/>
      <c r="C739" s="28"/>
      <c r="D739" s="28"/>
      <c r="E739" s="28"/>
      <c r="F739" s="28"/>
      <c r="G739" s="72"/>
      <c r="H739" s="36"/>
    </row>
    <row r="740" spans="2:8">
      <c r="B740" s="131" t="s">
        <v>98</v>
      </c>
      <c r="C740" s="132"/>
      <c r="D740" s="132"/>
      <c r="E740" s="132"/>
      <c r="F740" s="132"/>
      <c r="G740" s="132"/>
      <c r="H740" s="133"/>
    </row>
    <row r="741" spans="2:8">
      <c r="B741" s="128" t="s">
        <v>1</v>
      </c>
      <c r="C741" s="129"/>
      <c r="D741" s="130"/>
      <c r="E741" s="33" t="s">
        <v>90</v>
      </c>
      <c r="F741" s="33" t="s">
        <v>87</v>
      </c>
      <c r="G741" s="70" t="s">
        <v>63</v>
      </c>
      <c r="H741" s="37" t="s">
        <v>18</v>
      </c>
    </row>
    <row r="742" spans="2:8">
      <c r="B742" s="125" t="s">
        <v>142</v>
      </c>
      <c r="C742" s="126"/>
      <c r="D742" s="127"/>
      <c r="E742" s="26" t="s">
        <v>100</v>
      </c>
      <c r="F742" s="26">
        <v>5.64</v>
      </c>
      <c r="G742" s="71">
        <v>95661</v>
      </c>
      <c r="H742" s="38">
        <f t="shared" ref="H742:H745" si="83">F742*G742</f>
        <v>539528.03999999992</v>
      </c>
    </row>
    <row r="743" spans="2:8">
      <c r="B743" s="125"/>
      <c r="C743" s="126"/>
      <c r="D743" s="127"/>
      <c r="E743" s="26"/>
      <c r="F743" s="26"/>
      <c r="G743" s="71"/>
      <c r="H743" s="38">
        <f t="shared" si="83"/>
        <v>0</v>
      </c>
    </row>
    <row r="744" spans="2:8">
      <c r="B744" s="125"/>
      <c r="C744" s="126"/>
      <c r="D744" s="127"/>
      <c r="E744" s="26"/>
      <c r="F744" s="26"/>
      <c r="G744" s="71"/>
      <c r="H744" s="38">
        <f t="shared" si="83"/>
        <v>0</v>
      </c>
    </row>
    <row r="745" spans="2:8">
      <c r="B745" s="125"/>
      <c r="C745" s="126"/>
      <c r="D745" s="127"/>
      <c r="E745" s="26"/>
      <c r="F745" s="26"/>
      <c r="G745" s="71"/>
      <c r="H745" s="38">
        <f t="shared" si="83"/>
        <v>0</v>
      </c>
    </row>
    <row r="746" spans="2:8">
      <c r="B746" s="35"/>
      <c r="C746" s="28"/>
      <c r="D746" s="28"/>
      <c r="E746" s="28"/>
      <c r="F746" s="28"/>
      <c r="G746" s="70" t="s">
        <v>101</v>
      </c>
      <c r="H746" s="41">
        <f>SUM(H742:H745)</f>
        <v>539528.03999999992</v>
      </c>
    </row>
    <row r="747" spans="2:8">
      <c r="B747" s="35"/>
      <c r="C747" s="28"/>
      <c r="D747" s="28"/>
      <c r="E747" s="28"/>
      <c r="F747" s="28"/>
      <c r="G747" s="72"/>
      <c r="H747" s="36"/>
    </row>
    <row r="748" spans="2:8">
      <c r="B748" s="131" t="s">
        <v>102</v>
      </c>
      <c r="C748" s="132"/>
      <c r="D748" s="132"/>
      <c r="E748" s="132"/>
      <c r="F748" s="132"/>
      <c r="G748" s="132"/>
      <c r="H748" s="133"/>
    </row>
    <row r="749" spans="2:8">
      <c r="B749" s="128" t="s">
        <v>1</v>
      </c>
      <c r="C749" s="129"/>
      <c r="D749" s="130"/>
      <c r="E749" s="33" t="s">
        <v>90</v>
      </c>
      <c r="F749" s="33" t="s">
        <v>87</v>
      </c>
      <c r="G749" s="70" t="s">
        <v>63</v>
      </c>
      <c r="H749" s="37" t="s">
        <v>18</v>
      </c>
    </row>
    <row r="750" spans="2:8">
      <c r="B750" s="125"/>
      <c r="C750" s="126"/>
      <c r="D750" s="127"/>
      <c r="E750" s="26"/>
      <c r="F750" s="26"/>
      <c r="G750" s="71"/>
      <c r="H750" s="38">
        <f t="shared" ref="H750:H752" si="84">F750*G750</f>
        <v>0</v>
      </c>
    </row>
    <row r="751" spans="2:8">
      <c r="B751" s="125"/>
      <c r="C751" s="126"/>
      <c r="D751" s="127"/>
      <c r="E751" s="26"/>
      <c r="F751" s="26"/>
      <c r="G751" s="71"/>
      <c r="H751" s="38">
        <f t="shared" si="84"/>
        <v>0</v>
      </c>
    </row>
    <row r="752" spans="2:8">
      <c r="B752" s="125"/>
      <c r="C752" s="126"/>
      <c r="D752" s="127"/>
      <c r="E752" s="26"/>
      <c r="F752" s="26"/>
      <c r="G752" s="71"/>
      <c r="H752" s="38">
        <f t="shared" si="84"/>
        <v>0</v>
      </c>
    </row>
    <row r="753" spans="2:8">
      <c r="B753" s="35"/>
      <c r="C753" s="28"/>
      <c r="D753" s="28"/>
      <c r="E753" s="28"/>
      <c r="F753" s="28"/>
      <c r="G753" s="70" t="s">
        <v>103</v>
      </c>
      <c r="H753" s="41">
        <f>SUM(H750:H752)</f>
        <v>0</v>
      </c>
    </row>
    <row r="754" spans="2:8">
      <c r="B754" s="35"/>
      <c r="C754" s="28"/>
      <c r="D754" s="28"/>
      <c r="E754" s="28"/>
      <c r="F754" s="28"/>
      <c r="G754" s="72"/>
      <c r="H754" s="36"/>
    </row>
    <row r="755" spans="2:8">
      <c r="B755" s="131" t="s">
        <v>104</v>
      </c>
      <c r="C755" s="132"/>
      <c r="D755" s="132"/>
      <c r="E755" s="132"/>
      <c r="F755" s="132"/>
      <c r="G755" s="132"/>
      <c r="H755" s="133"/>
    </row>
    <row r="756" spans="2:8">
      <c r="B756" s="128" t="s">
        <v>1</v>
      </c>
      <c r="C756" s="129"/>
      <c r="D756" s="130"/>
      <c r="E756" s="33" t="s">
        <v>90</v>
      </c>
      <c r="F756" s="33" t="s">
        <v>87</v>
      </c>
      <c r="G756" s="70" t="s">
        <v>63</v>
      </c>
      <c r="H756" s="37" t="s">
        <v>18</v>
      </c>
    </row>
    <row r="757" spans="2:8">
      <c r="B757" s="125" t="s">
        <v>105</v>
      </c>
      <c r="C757" s="126"/>
      <c r="D757" s="127"/>
      <c r="E757" s="26"/>
      <c r="F757" s="43">
        <v>2</v>
      </c>
      <c r="G757" s="71">
        <v>1000</v>
      </c>
      <c r="H757" s="38">
        <f t="shared" ref="H757:H760" si="85">F757*G757</f>
        <v>2000</v>
      </c>
    </row>
    <row r="758" spans="2:8">
      <c r="B758" s="125"/>
      <c r="C758" s="126"/>
      <c r="D758" s="127"/>
      <c r="E758" s="26"/>
      <c r="F758" s="26"/>
      <c r="G758" s="71"/>
      <c r="H758" s="38">
        <f t="shared" si="85"/>
        <v>0</v>
      </c>
    </row>
    <row r="759" spans="2:8">
      <c r="B759" s="125"/>
      <c r="C759" s="126"/>
      <c r="D759" s="127"/>
      <c r="E759" s="26"/>
      <c r="F759" s="26"/>
      <c r="G759" s="71"/>
      <c r="H759" s="38">
        <f t="shared" si="85"/>
        <v>0</v>
      </c>
    </row>
    <row r="760" spans="2:8">
      <c r="B760" s="125"/>
      <c r="C760" s="126"/>
      <c r="D760" s="127"/>
      <c r="E760" s="26"/>
      <c r="F760" s="26"/>
      <c r="G760" s="71"/>
      <c r="H760" s="38">
        <f t="shared" si="85"/>
        <v>0</v>
      </c>
    </row>
    <row r="761" spans="2:8">
      <c r="B761" s="35"/>
      <c r="C761" s="28"/>
      <c r="D761" s="28"/>
      <c r="E761" s="28"/>
      <c r="F761" s="28"/>
      <c r="G761" s="70" t="s">
        <v>103</v>
      </c>
      <c r="H761" s="41">
        <f>SUM(H757:H760)</f>
        <v>2000</v>
      </c>
    </row>
    <row r="762" spans="2:8">
      <c r="B762" s="35"/>
      <c r="C762" s="28"/>
      <c r="D762" s="28"/>
      <c r="E762" s="28"/>
      <c r="F762" s="28"/>
      <c r="G762" s="72"/>
      <c r="H762" s="36"/>
    </row>
    <row r="763" spans="2:8">
      <c r="B763" s="35"/>
      <c r="C763" s="28"/>
      <c r="D763" s="28"/>
      <c r="E763" s="28"/>
      <c r="F763" s="28"/>
      <c r="G763" s="72"/>
      <c r="H763" s="36"/>
    </row>
    <row r="764" spans="2:8">
      <c r="B764" s="35"/>
      <c r="C764" s="28"/>
      <c r="D764" s="28"/>
      <c r="E764" s="28"/>
      <c r="F764" s="28"/>
      <c r="G764" s="74" t="s">
        <v>49</v>
      </c>
      <c r="H764" s="44">
        <f>H729+H738+H746+H753+H761</f>
        <v>1108729.1099999999</v>
      </c>
    </row>
    <row r="765" spans="2:8" ht="15" thickBot="1">
      <c r="B765" s="45"/>
      <c r="C765" s="46"/>
      <c r="D765" s="46"/>
      <c r="E765" s="46"/>
      <c r="F765" s="46"/>
      <c r="G765" s="76"/>
      <c r="H765" s="47"/>
    </row>
    <row r="766" spans="2:8" s="60" customFormat="1">
      <c r="G766" s="77"/>
    </row>
    <row r="767" spans="2:8" s="60" customFormat="1" ht="15" thickBot="1">
      <c r="G767" s="77"/>
    </row>
    <row r="768" spans="2:8">
      <c r="B768" s="141" t="s">
        <v>81</v>
      </c>
      <c r="C768" s="142"/>
      <c r="D768" s="143" t="s">
        <v>135</v>
      </c>
      <c r="E768" s="144"/>
      <c r="F768" s="144"/>
      <c r="G768" s="144"/>
      <c r="H768" s="145"/>
    </row>
    <row r="769" spans="2:8">
      <c r="B769" s="146" t="s">
        <v>147</v>
      </c>
      <c r="C769" s="147"/>
      <c r="D769" s="147"/>
      <c r="E769" s="147"/>
      <c r="F769" s="147"/>
      <c r="G769" s="147"/>
      <c r="H769" s="148"/>
    </row>
    <row r="770" spans="2:8">
      <c r="B770" s="32" t="s">
        <v>83</v>
      </c>
      <c r="C770" s="26"/>
      <c r="D770" s="28"/>
      <c r="E770" s="28"/>
      <c r="F770" s="28"/>
      <c r="G770" s="70" t="s">
        <v>84</v>
      </c>
      <c r="H770" s="34" t="s">
        <v>23</v>
      </c>
    </row>
    <row r="771" spans="2:8">
      <c r="B771" s="35"/>
      <c r="C771" s="28"/>
      <c r="D771" s="28"/>
      <c r="E771" s="28"/>
      <c r="F771" s="28"/>
      <c r="G771" s="70" t="s">
        <v>85</v>
      </c>
      <c r="H771" s="61">
        <v>488.39</v>
      </c>
    </row>
    <row r="772" spans="2:8">
      <c r="B772" s="131" t="s">
        <v>86</v>
      </c>
      <c r="C772" s="132"/>
      <c r="D772" s="132"/>
      <c r="E772" s="132"/>
      <c r="F772" s="132"/>
      <c r="G772" s="132"/>
      <c r="H772" s="133"/>
    </row>
    <row r="773" spans="2:8">
      <c r="B773" s="128" t="s">
        <v>1</v>
      </c>
      <c r="C773" s="129"/>
      <c r="D773" s="130"/>
      <c r="E773" s="33" t="s">
        <v>84</v>
      </c>
      <c r="F773" s="33" t="s">
        <v>87</v>
      </c>
      <c r="G773" s="70" t="s">
        <v>63</v>
      </c>
      <c r="H773" s="37" t="s">
        <v>18</v>
      </c>
    </row>
    <row r="774" spans="2:8">
      <c r="B774" s="125" t="s">
        <v>137</v>
      </c>
      <c r="C774" s="126"/>
      <c r="D774" s="127"/>
      <c r="E774" s="26" t="s">
        <v>100</v>
      </c>
      <c r="F774" s="26">
        <v>8.2000000000000007E-3</v>
      </c>
      <c r="G774" s="71">
        <v>33000</v>
      </c>
      <c r="H774" s="38">
        <f t="shared" ref="H774:H776" si="86">F774*G774</f>
        <v>270.60000000000002</v>
      </c>
    </row>
    <row r="775" spans="2:8" ht="22.15" customHeight="1">
      <c r="B775" s="125" t="s">
        <v>146</v>
      </c>
      <c r="C775" s="126"/>
      <c r="D775" s="127"/>
      <c r="E775" s="26" t="s">
        <v>100</v>
      </c>
      <c r="F775" s="26">
        <v>5.7000000000000002E-2</v>
      </c>
      <c r="G775" s="71">
        <v>5200</v>
      </c>
      <c r="H775" s="38">
        <f t="shared" si="86"/>
        <v>296.40000000000003</v>
      </c>
    </row>
    <row r="776" spans="2:8">
      <c r="B776" s="125"/>
      <c r="C776" s="126"/>
      <c r="D776" s="127"/>
      <c r="E776" s="26"/>
      <c r="F776" s="26"/>
      <c r="G776" s="71"/>
      <c r="H776" s="38">
        <f t="shared" si="86"/>
        <v>0</v>
      </c>
    </row>
    <row r="777" spans="2:8">
      <c r="B777" s="39"/>
      <c r="C777" s="40"/>
      <c r="D777" s="40"/>
      <c r="E777" s="28"/>
      <c r="F777" s="28"/>
      <c r="G777" s="70" t="s">
        <v>88</v>
      </c>
      <c r="H777" s="41">
        <f>SUM(H774:H776)</f>
        <v>567</v>
      </c>
    </row>
    <row r="778" spans="2:8">
      <c r="B778" s="35"/>
      <c r="C778" s="28"/>
      <c r="D778" s="28"/>
      <c r="E778" s="28"/>
      <c r="F778" s="28"/>
      <c r="G778" s="72"/>
      <c r="H778" s="36"/>
    </row>
    <row r="779" spans="2:8">
      <c r="B779" s="131" t="s">
        <v>89</v>
      </c>
      <c r="C779" s="132"/>
      <c r="D779" s="132"/>
      <c r="E779" s="132"/>
      <c r="F779" s="132"/>
      <c r="G779" s="132"/>
      <c r="H779" s="133"/>
    </row>
    <row r="780" spans="2:8">
      <c r="B780" s="128" t="s">
        <v>1</v>
      </c>
      <c r="C780" s="129"/>
      <c r="D780" s="130"/>
      <c r="E780" s="33" t="s">
        <v>90</v>
      </c>
      <c r="F780" s="33" t="s">
        <v>87</v>
      </c>
      <c r="G780" s="70" t="s">
        <v>63</v>
      </c>
      <c r="H780" s="37" t="s">
        <v>18</v>
      </c>
    </row>
    <row r="781" spans="2:8">
      <c r="B781" s="134" t="s">
        <v>138</v>
      </c>
      <c r="C781" s="135"/>
      <c r="D781" s="135"/>
      <c r="E781" s="2" t="s">
        <v>29</v>
      </c>
      <c r="F781" s="2">
        <v>1.02</v>
      </c>
      <c r="G781" s="71">
        <v>447258</v>
      </c>
      <c r="H781" s="38">
        <f>G781*F781</f>
        <v>456203.16000000003</v>
      </c>
    </row>
    <row r="782" spans="2:8">
      <c r="B782" s="136" t="s">
        <v>139</v>
      </c>
      <c r="C782" s="137"/>
      <c r="D782" s="137"/>
      <c r="E782" s="2" t="s">
        <v>21</v>
      </c>
      <c r="F782" s="2">
        <v>0.64</v>
      </c>
      <c r="G782" s="71">
        <v>5252</v>
      </c>
      <c r="H782" s="38">
        <f t="shared" ref="H782:H787" si="87">G782*F782</f>
        <v>3361.28</v>
      </c>
    </row>
    <row r="783" spans="2:8">
      <c r="B783" s="149" t="s">
        <v>140</v>
      </c>
      <c r="C783" s="150"/>
      <c r="D783" s="151"/>
      <c r="E783" s="2" t="s">
        <v>21</v>
      </c>
      <c r="F783" s="2">
        <v>0.2</v>
      </c>
      <c r="G783" s="71">
        <v>1812</v>
      </c>
      <c r="H783" s="38">
        <f t="shared" si="87"/>
        <v>362.40000000000003</v>
      </c>
    </row>
    <row r="784" spans="2:8">
      <c r="B784" s="138" t="s">
        <v>141</v>
      </c>
      <c r="C784" s="139"/>
      <c r="D784" s="140"/>
      <c r="E784" s="2" t="s">
        <v>21</v>
      </c>
      <c r="F784" s="2">
        <v>0.26</v>
      </c>
      <c r="G784" s="71">
        <v>1617</v>
      </c>
      <c r="H784" s="38">
        <f t="shared" si="87"/>
        <v>420.42</v>
      </c>
    </row>
    <row r="785" spans="2:8">
      <c r="B785" s="138" t="s">
        <v>148</v>
      </c>
      <c r="C785" s="139"/>
      <c r="D785" s="140"/>
      <c r="E785" s="2" t="s">
        <v>23</v>
      </c>
      <c r="F785" s="2">
        <v>0.9</v>
      </c>
      <c r="G785" s="71">
        <v>14706</v>
      </c>
      <c r="H785" s="38">
        <f t="shared" si="87"/>
        <v>13235.4</v>
      </c>
    </row>
    <row r="786" spans="2:8">
      <c r="B786" s="138" t="s">
        <v>149</v>
      </c>
      <c r="C786" s="139"/>
      <c r="D786" s="140"/>
      <c r="E786" s="2" t="s">
        <v>21</v>
      </c>
      <c r="F786" s="2">
        <v>8.5000000000000006E-2</v>
      </c>
      <c r="G786" s="71">
        <v>4638</v>
      </c>
      <c r="H786" s="38">
        <f t="shared" si="87"/>
        <v>394.23</v>
      </c>
    </row>
    <row r="787" spans="2:8">
      <c r="B787" s="136" t="s">
        <v>92</v>
      </c>
      <c r="C787" s="137"/>
      <c r="D787" s="137"/>
      <c r="E787" s="2" t="s">
        <v>93</v>
      </c>
      <c r="F787" s="2">
        <v>0.1</v>
      </c>
      <c r="G787" s="71">
        <v>3781</v>
      </c>
      <c r="H787" s="38">
        <f t="shared" si="87"/>
        <v>378.1</v>
      </c>
    </row>
    <row r="788" spans="2:8">
      <c r="B788" s="35"/>
      <c r="C788" s="28"/>
      <c r="D788" s="28"/>
      <c r="E788" s="28"/>
      <c r="F788" s="28"/>
      <c r="G788" s="70" t="s">
        <v>97</v>
      </c>
      <c r="H788" s="41">
        <f>H782+H787+H781+H783+H784+H785+H786</f>
        <v>474354.99000000005</v>
      </c>
    </row>
    <row r="789" spans="2:8">
      <c r="B789" s="35"/>
      <c r="C789" s="28"/>
      <c r="D789" s="28"/>
      <c r="E789" s="28"/>
      <c r="F789" s="28"/>
      <c r="G789" s="72"/>
      <c r="H789" s="36"/>
    </row>
    <row r="790" spans="2:8">
      <c r="B790" s="131" t="s">
        <v>98</v>
      </c>
      <c r="C790" s="132"/>
      <c r="D790" s="132"/>
      <c r="E790" s="132"/>
      <c r="F790" s="132"/>
      <c r="G790" s="132"/>
      <c r="H790" s="133"/>
    </row>
    <row r="791" spans="2:8">
      <c r="B791" s="128" t="s">
        <v>1</v>
      </c>
      <c r="C791" s="129"/>
      <c r="D791" s="130"/>
      <c r="E791" s="33" t="s">
        <v>90</v>
      </c>
      <c r="F791" s="33" t="s">
        <v>87</v>
      </c>
      <c r="G791" s="70" t="s">
        <v>63</v>
      </c>
      <c r="H791" s="37" t="s">
        <v>18</v>
      </c>
    </row>
    <row r="792" spans="2:8">
      <c r="B792" s="125" t="s">
        <v>142</v>
      </c>
      <c r="C792" s="126"/>
      <c r="D792" s="127"/>
      <c r="E792" s="26" t="s">
        <v>100</v>
      </c>
      <c r="F792" s="26">
        <v>2.8E-3</v>
      </c>
      <c r="G792" s="71">
        <v>95661</v>
      </c>
      <c r="H792" s="38">
        <f t="shared" ref="H792:H795" si="88">F792*G792</f>
        <v>267.85079999999999</v>
      </c>
    </row>
    <row r="793" spans="2:8">
      <c r="B793" s="125"/>
      <c r="C793" s="126"/>
      <c r="D793" s="127"/>
      <c r="E793" s="26"/>
      <c r="F793" s="26"/>
      <c r="G793" s="71"/>
      <c r="H793" s="38">
        <f t="shared" si="88"/>
        <v>0</v>
      </c>
    </row>
    <row r="794" spans="2:8">
      <c r="B794" s="125"/>
      <c r="C794" s="126"/>
      <c r="D794" s="127"/>
      <c r="E794" s="26"/>
      <c r="F794" s="26"/>
      <c r="G794" s="71"/>
      <c r="H794" s="38">
        <f t="shared" si="88"/>
        <v>0</v>
      </c>
    </row>
    <row r="795" spans="2:8">
      <c r="B795" s="125"/>
      <c r="C795" s="126"/>
      <c r="D795" s="127"/>
      <c r="E795" s="26"/>
      <c r="F795" s="26"/>
      <c r="G795" s="71"/>
      <c r="H795" s="38">
        <f t="shared" si="88"/>
        <v>0</v>
      </c>
    </row>
    <row r="796" spans="2:8">
      <c r="B796" s="35"/>
      <c r="C796" s="28"/>
      <c r="D796" s="28"/>
      <c r="E796" s="28"/>
      <c r="F796" s="28"/>
      <c r="G796" s="70" t="s">
        <v>101</v>
      </c>
      <c r="H796" s="41">
        <f>SUM(H792:H795)</f>
        <v>267.85079999999999</v>
      </c>
    </row>
    <row r="797" spans="2:8">
      <c r="B797" s="35"/>
      <c r="C797" s="28"/>
      <c r="D797" s="28"/>
      <c r="E797" s="28"/>
      <c r="F797" s="28"/>
      <c r="G797" s="72"/>
      <c r="H797" s="36"/>
    </row>
    <row r="798" spans="2:8">
      <c r="B798" s="131" t="s">
        <v>102</v>
      </c>
      <c r="C798" s="132"/>
      <c r="D798" s="132"/>
      <c r="E798" s="132"/>
      <c r="F798" s="132"/>
      <c r="G798" s="132"/>
      <c r="H798" s="133"/>
    </row>
    <row r="799" spans="2:8">
      <c r="B799" s="128" t="s">
        <v>1</v>
      </c>
      <c r="C799" s="129"/>
      <c r="D799" s="130"/>
      <c r="E799" s="33" t="s">
        <v>90</v>
      </c>
      <c r="F799" s="33" t="s">
        <v>87</v>
      </c>
      <c r="G799" s="70" t="s">
        <v>63</v>
      </c>
      <c r="H799" s="37" t="s">
        <v>18</v>
      </c>
    </row>
    <row r="800" spans="2:8">
      <c r="B800" s="125"/>
      <c r="C800" s="126"/>
      <c r="D800" s="127"/>
      <c r="E800" s="26"/>
      <c r="F800" s="26"/>
      <c r="G800" s="71"/>
      <c r="H800" s="38">
        <f t="shared" ref="H800:H802" si="89">F800*G800</f>
        <v>0</v>
      </c>
    </row>
    <row r="801" spans="2:8">
      <c r="B801" s="125"/>
      <c r="C801" s="126"/>
      <c r="D801" s="127"/>
      <c r="E801" s="26"/>
      <c r="F801" s="26"/>
      <c r="G801" s="71"/>
      <c r="H801" s="38">
        <f t="shared" si="89"/>
        <v>0</v>
      </c>
    </row>
    <row r="802" spans="2:8">
      <c r="B802" s="125"/>
      <c r="C802" s="126"/>
      <c r="D802" s="127"/>
      <c r="E802" s="26"/>
      <c r="F802" s="26"/>
      <c r="G802" s="71"/>
      <c r="H802" s="38">
        <f t="shared" si="89"/>
        <v>0</v>
      </c>
    </row>
    <row r="803" spans="2:8">
      <c r="B803" s="35"/>
      <c r="C803" s="28"/>
      <c r="D803" s="28"/>
      <c r="E803" s="28"/>
      <c r="F803" s="28"/>
      <c r="G803" s="70" t="s">
        <v>103</v>
      </c>
      <c r="H803" s="41">
        <f>SUM(H800:H802)</f>
        <v>0</v>
      </c>
    </row>
    <row r="804" spans="2:8">
      <c r="B804" s="35"/>
      <c r="C804" s="28"/>
      <c r="D804" s="28"/>
      <c r="E804" s="28"/>
      <c r="F804" s="28"/>
      <c r="G804" s="72"/>
      <c r="H804" s="36"/>
    </row>
    <row r="805" spans="2:8">
      <c r="B805" s="131" t="s">
        <v>104</v>
      </c>
      <c r="C805" s="132"/>
      <c r="D805" s="132"/>
      <c r="E805" s="132"/>
      <c r="F805" s="132"/>
      <c r="G805" s="132"/>
      <c r="H805" s="133"/>
    </row>
    <row r="806" spans="2:8">
      <c r="B806" s="128" t="s">
        <v>1</v>
      </c>
      <c r="C806" s="129"/>
      <c r="D806" s="130"/>
      <c r="E806" s="33" t="s">
        <v>90</v>
      </c>
      <c r="F806" s="33" t="s">
        <v>87</v>
      </c>
      <c r="G806" s="70" t="s">
        <v>63</v>
      </c>
      <c r="H806" s="37" t="s">
        <v>18</v>
      </c>
    </row>
    <row r="807" spans="2:8">
      <c r="B807" s="125" t="s">
        <v>105</v>
      </c>
      <c r="C807" s="126"/>
      <c r="D807" s="127"/>
      <c r="E807" s="26"/>
      <c r="F807" s="43">
        <v>2</v>
      </c>
      <c r="G807" s="71">
        <v>1000</v>
      </c>
      <c r="H807" s="38">
        <f t="shared" ref="H807:H810" si="90">F807*G807</f>
        <v>2000</v>
      </c>
    </row>
    <row r="808" spans="2:8">
      <c r="B808" s="125"/>
      <c r="C808" s="126"/>
      <c r="D808" s="127"/>
      <c r="E808" s="26"/>
      <c r="F808" s="26"/>
      <c r="G808" s="71"/>
      <c r="H808" s="38">
        <f t="shared" si="90"/>
        <v>0</v>
      </c>
    </row>
    <row r="809" spans="2:8">
      <c r="B809" s="125"/>
      <c r="C809" s="126"/>
      <c r="D809" s="127"/>
      <c r="E809" s="26"/>
      <c r="F809" s="26"/>
      <c r="G809" s="71"/>
      <c r="H809" s="38">
        <f t="shared" si="90"/>
        <v>0</v>
      </c>
    </row>
    <row r="810" spans="2:8">
      <c r="B810" s="125"/>
      <c r="C810" s="126"/>
      <c r="D810" s="127"/>
      <c r="E810" s="26"/>
      <c r="F810" s="26"/>
      <c r="G810" s="71"/>
      <c r="H810" s="38">
        <f t="shared" si="90"/>
        <v>0</v>
      </c>
    </row>
    <row r="811" spans="2:8">
      <c r="B811" s="35"/>
      <c r="C811" s="28"/>
      <c r="D811" s="28"/>
      <c r="E811" s="28"/>
      <c r="F811" s="28"/>
      <c r="G811" s="70" t="s">
        <v>103</v>
      </c>
      <c r="H811" s="41">
        <f>SUM(H807:H810)</f>
        <v>2000</v>
      </c>
    </row>
    <row r="812" spans="2:8">
      <c r="B812" s="35"/>
      <c r="C812" s="28"/>
      <c r="D812" s="28"/>
      <c r="E812" s="28"/>
      <c r="F812" s="28"/>
      <c r="G812" s="72"/>
      <c r="H812" s="36"/>
    </row>
    <row r="813" spans="2:8">
      <c r="B813" s="35"/>
      <c r="C813" s="28"/>
      <c r="D813" s="28"/>
      <c r="E813" s="28"/>
      <c r="F813" s="28"/>
      <c r="G813" s="72"/>
      <c r="H813" s="36"/>
    </row>
    <row r="814" spans="2:8">
      <c r="B814" s="35"/>
      <c r="C814" s="28"/>
      <c r="D814" s="28"/>
      <c r="E814" s="28"/>
      <c r="F814" s="28"/>
      <c r="G814" s="74" t="s">
        <v>49</v>
      </c>
      <c r="H814" s="44">
        <f>H777+H788+H796+H803+H811</f>
        <v>477189.84080000006</v>
      </c>
    </row>
    <row r="815" spans="2:8" ht="15" thickBot="1">
      <c r="B815" s="45"/>
      <c r="C815" s="46"/>
      <c r="D815" s="46"/>
      <c r="E815" s="46"/>
      <c r="F815" s="46"/>
      <c r="G815" s="76"/>
      <c r="H815" s="47"/>
    </row>
    <row r="816" spans="2:8" s="60" customFormat="1">
      <c r="G816" s="77"/>
    </row>
    <row r="817" spans="2:8" s="60" customFormat="1" ht="15" thickBot="1">
      <c r="G817" s="77"/>
    </row>
    <row r="818" spans="2:8">
      <c r="B818" s="141" t="s">
        <v>81</v>
      </c>
      <c r="C818" s="142"/>
      <c r="D818" s="143" t="s">
        <v>135</v>
      </c>
      <c r="E818" s="144"/>
      <c r="F818" s="144"/>
      <c r="G818" s="144"/>
      <c r="H818" s="145"/>
    </row>
    <row r="819" spans="2:8">
      <c r="B819" s="146" t="s">
        <v>150</v>
      </c>
      <c r="C819" s="147"/>
      <c r="D819" s="147"/>
      <c r="E819" s="147"/>
      <c r="F819" s="147"/>
      <c r="G819" s="147"/>
      <c r="H819" s="148"/>
    </row>
    <row r="820" spans="2:8">
      <c r="B820" s="32" t="s">
        <v>83</v>
      </c>
      <c r="C820" s="26"/>
      <c r="D820" s="28"/>
      <c r="E820" s="28"/>
      <c r="F820" s="28"/>
      <c r="G820" s="70" t="s">
        <v>84</v>
      </c>
      <c r="H820" s="34" t="s">
        <v>23</v>
      </c>
    </row>
    <row r="821" spans="2:8">
      <c r="B821" s="35"/>
      <c r="C821" s="28"/>
      <c r="D821" s="28"/>
      <c r="E821" s="28"/>
      <c r="F821" s="28"/>
      <c r="G821" s="70" t="s">
        <v>85</v>
      </c>
      <c r="H821" s="61">
        <v>195.19</v>
      </c>
    </row>
    <row r="822" spans="2:8">
      <c r="B822" s="131" t="s">
        <v>86</v>
      </c>
      <c r="C822" s="132"/>
      <c r="D822" s="132"/>
      <c r="E822" s="132"/>
      <c r="F822" s="132"/>
      <c r="G822" s="132"/>
      <c r="H822" s="133"/>
    </row>
    <row r="823" spans="2:8">
      <c r="B823" s="128" t="s">
        <v>1</v>
      </c>
      <c r="C823" s="129"/>
      <c r="D823" s="130"/>
      <c r="E823" s="33" t="s">
        <v>84</v>
      </c>
      <c r="F823" s="33" t="s">
        <v>87</v>
      </c>
      <c r="G823" s="70" t="s">
        <v>63</v>
      </c>
      <c r="H823" s="37" t="s">
        <v>18</v>
      </c>
    </row>
    <row r="824" spans="2:8">
      <c r="B824" s="125" t="s">
        <v>137</v>
      </c>
      <c r="C824" s="126"/>
      <c r="D824" s="127"/>
      <c r="E824" s="26" t="s">
        <v>100</v>
      </c>
      <c r="F824" s="26">
        <v>0.17499999999999999</v>
      </c>
      <c r="G824" s="71">
        <v>33000</v>
      </c>
      <c r="H824" s="38">
        <f>F824*G824</f>
        <v>5775</v>
      </c>
    </row>
    <row r="825" spans="2:8" ht="24.6" customHeight="1">
      <c r="B825" s="125" t="s">
        <v>146</v>
      </c>
      <c r="C825" s="126"/>
      <c r="D825" s="127"/>
      <c r="E825" s="26" t="s">
        <v>100</v>
      </c>
      <c r="F825" s="26">
        <v>5.0999999999999997E-2</v>
      </c>
      <c r="G825" s="71">
        <v>5200</v>
      </c>
      <c r="H825" s="38">
        <f>F825*G825</f>
        <v>265.2</v>
      </c>
    </row>
    <row r="826" spans="2:8">
      <c r="B826" s="125"/>
      <c r="C826" s="126"/>
      <c r="D826" s="127"/>
      <c r="E826" s="26"/>
      <c r="F826" s="26"/>
      <c r="G826" s="71"/>
      <c r="H826" s="38">
        <f t="shared" ref="H826" si="91">F826*G826</f>
        <v>0</v>
      </c>
    </row>
    <row r="827" spans="2:8">
      <c r="B827" s="39"/>
      <c r="C827" s="40"/>
      <c r="D827" s="40"/>
      <c r="E827" s="28"/>
      <c r="F827" s="28"/>
      <c r="G827" s="70" t="s">
        <v>88</v>
      </c>
      <c r="H827" s="41">
        <f>SUM(H824:H826)</f>
        <v>6040.2</v>
      </c>
    </row>
    <row r="828" spans="2:8">
      <c r="B828" s="35"/>
      <c r="C828" s="28"/>
      <c r="D828" s="28"/>
      <c r="E828" s="28"/>
      <c r="F828" s="28"/>
      <c r="G828" s="72"/>
      <c r="H828" s="36"/>
    </row>
    <row r="829" spans="2:8">
      <c r="B829" s="131" t="s">
        <v>89</v>
      </c>
      <c r="C829" s="132"/>
      <c r="D829" s="132"/>
      <c r="E829" s="132"/>
      <c r="F829" s="132"/>
      <c r="G829" s="132"/>
      <c r="H829" s="133"/>
    </row>
    <row r="830" spans="2:8">
      <c r="B830" s="128" t="s">
        <v>1</v>
      </c>
      <c r="C830" s="129"/>
      <c r="D830" s="130"/>
      <c r="E830" s="33" t="s">
        <v>90</v>
      </c>
      <c r="F830" s="33" t="s">
        <v>87</v>
      </c>
      <c r="G830" s="70" t="s">
        <v>63</v>
      </c>
      <c r="H830" s="37" t="s">
        <v>18</v>
      </c>
    </row>
    <row r="831" spans="2:8">
      <c r="B831" s="134" t="s">
        <v>138</v>
      </c>
      <c r="C831" s="135"/>
      <c r="D831" s="135"/>
      <c r="E831" s="2" t="s">
        <v>29</v>
      </c>
      <c r="F831" s="2">
        <v>1</v>
      </c>
      <c r="G831" s="71">
        <v>447258</v>
      </c>
      <c r="H831" s="38">
        <f>G831*F831</f>
        <v>447258</v>
      </c>
    </row>
    <row r="832" spans="2:8">
      <c r="B832" s="136" t="s">
        <v>139</v>
      </c>
      <c r="C832" s="137"/>
      <c r="D832" s="137"/>
      <c r="E832" s="2" t="s">
        <v>21</v>
      </c>
      <c r="F832" s="2">
        <v>0.5</v>
      </c>
      <c r="G832" s="71">
        <v>5252</v>
      </c>
      <c r="H832" s="38">
        <f t="shared" ref="H832:H837" si="92">G832*F832</f>
        <v>2626</v>
      </c>
    </row>
    <row r="833" spans="2:8">
      <c r="B833" s="149" t="s">
        <v>140</v>
      </c>
      <c r="C833" s="150"/>
      <c r="D833" s="151"/>
      <c r="E833" s="2" t="s">
        <v>21</v>
      </c>
      <c r="F833" s="2">
        <v>0.2</v>
      </c>
      <c r="G833" s="71">
        <v>1812</v>
      </c>
      <c r="H833" s="38">
        <f t="shared" si="92"/>
        <v>362.40000000000003</v>
      </c>
    </row>
    <row r="834" spans="2:8">
      <c r="B834" s="138" t="s">
        <v>141</v>
      </c>
      <c r="C834" s="139"/>
      <c r="D834" s="140"/>
      <c r="E834" s="2" t="s">
        <v>21</v>
      </c>
      <c r="F834" s="2">
        <v>0.26</v>
      </c>
      <c r="G834" s="71">
        <v>1617</v>
      </c>
      <c r="H834" s="38">
        <f t="shared" si="92"/>
        <v>420.42</v>
      </c>
    </row>
    <row r="835" spans="2:8">
      <c r="B835" s="138" t="s">
        <v>148</v>
      </c>
      <c r="C835" s="139"/>
      <c r="D835" s="140"/>
      <c r="E835" s="2" t="s">
        <v>23</v>
      </c>
      <c r="F835" s="2">
        <v>0.5</v>
      </c>
      <c r="G835" s="71">
        <v>14706</v>
      </c>
      <c r="H835" s="38">
        <f t="shared" si="92"/>
        <v>7353</v>
      </c>
    </row>
    <row r="836" spans="2:8">
      <c r="B836" s="138" t="s">
        <v>149</v>
      </c>
      <c r="C836" s="139"/>
      <c r="D836" s="140"/>
      <c r="E836" s="2" t="s">
        <v>21</v>
      </c>
      <c r="F836" s="2">
        <v>8.5000000000000006E-2</v>
      </c>
      <c r="G836" s="71">
        <v>4638</v>
      </c>
      <c r="H836" s="38">
        <f t="shared" si="92"/>
        <v>394.23</v>
      </c>
    </row>
    <row r="837" spans="2:8">
      <c r="B837" s="136" t="s">
        <v>92</v>
      </c>
      <c r="C837" s="137"/>
      <c r="D837" s="137"/>
      <c r="E837" s="2" t="s">
        <v>93</v>
      </c>
      <c r="F837" s="2">
        <v>0.1</v>
      </c>
      <c r="G837" s="71">
        <v>3781</v>
      </c>
      <c r="H837" s="38">
        <f t="shared" si="92"/>
        <v>378.1</v>
      </c>
    </row>
    <row r="838" spans="2:8">
      <c r="B838" s="35"/>
      <c r="C838" s="28"/>
      <c r="D838" s="28"/>
      <c r="E838" s="28"/>
      <c r="F838" s="28"/>
      <c r="G838" s="70" t="s">
        <v>97</v>
      </c>
      <c r="H838" s="41">
        <f>H832+H837+H831+H833+H834+H835+H836</f>
        <v>458792.14999999997</v>
      </c>
    </row>
    <row r="839" spans="2:8">
      <c r="B839" s="35"/>
      <c r="C839" s="28"/>
      <c r="D839" s="28"/>
      <c r="E839" s="28"/>
      <c r="F839" s="28"/>
      <c r="G839" s="72"/>
      <c r="H839" s="36"/>
    </row>
    <row r="840" spans="2:8">
      <c r="B840" s="131" t="s">
        <v>98</v>
      </c>
      <c r="C840" s="132"/>
      <c r="D840" s="132"/>
      <c r="E840" s="132"/>
      <c r="F840" s="132"/>
      <c r="G840" s="132"/>
      <c r="H840" s="133"/>
    </row>
    <row r="841" spans="2:8">
      <c r="B841" s="128" t="s">
        <v>1</v>
      </c>
      <c r="C841" s="129"/>
      <c r="D841" s="130"/>
      <c r="E841" s="33" t="s">
        <v>90</v>
      </c>
      <c r="F841" s="33" t="s">
        <v>87</v>
      </c>
      <c r="G841" s="70" t="s">
        <v>63</v>
      </c>
      <c r="H841" s="37" t="s">
        <v>18</v>
      </c>
    </row>
    <row r="842" spans="2:8">
      <c r="B842" s="125" t="s">
        <v>142</v>
      </c>
      <c r="C842" s="126"/>
      <c r="D842" s="127"/>
      <c r="E842" s="26" t="s">
        <v>100</v>
      </c>
      <c r="F842" s="26">
        <v>0.51</v>
      </c>
      <c r="G842" s="71">
        <v>95661</v>
      </c>
      <c r="H842" s="38">
        <f t="shared" ref="H842:H845" si="93">F842*G842</f>
        <v>48787.11</v>
      </c>
    </row>
    <row r="843" spans="2:8">
      <c r="B843" s="125"/>
      <c r="C843" s="126"/>
      <c r="D843" s="127"/>
      <c r="E843" s="26"/>
      <c r="F843" s="26"/>
      <c r="G843" s="71"/>
      <c r="H843" s="38">
        <f t="shared" si="93"/>
        <v>0</v>
      </c>
    </row>
    <row r="844" spans="2:8">
      <c r="B844" s="125"/>
      <c r="C844" s="126"/>
      <c r="D844" s="127"/>
      <c r="E844" s="26"/>
      <c r="F844" s="26"/>
      <c r="G844" s="71"/>
      <c r="H844" s="38">
        <f t="shared" si="93"/>
        <v>0</v>
      </c>
    </row>
    <row r="845" spans="2:8">
      <c r="B845" s="125"/>
      <c r="C845" s="126"/>
      <c r="D845" s="127"/>
      <c r="E845" s="26"/>
      <c r="F845" s="26"/>
      <c r="G845" s="71"/>
      <c r="H845" s="38">
        <f t="shared" si="93"/>
        <v>0</v>
      </c>
    </row>
    <row r="846" spans="2:8">
      <c r="B846" s="35"/>
      <c r="C846" s="28"/>
      <c r="D846" s="28"/>
      <c r="E846" s="28"/>
      <c r="F846" s="28"/>
      <c r="G846" s="70" t="s">
        <v>101</v>
      </c>
      <c r="H846" s="41">
        <f>SUM(H842:H845)</f>
        <v>48787.11</v>
      </c>
    </row>
    <row r="847" spans="2:8">
      <c r="B847" s="35"/>
      <c r="C847" s="28"/>
      <c r="D847" s="28"/>
      <c r="E847" s="28"/>
      <c r="F847" s="28"/>
      <c r="G847" s="72"/>
      <c r="H847" s="36"/>
    </row>
    <row r="848" spans="2:8">
      <c r="B848" s="131" t="s">
        <v>102</v>
      </c>
      <c r="C848" s="132"/>
      <c r="D848" s="132"/>
      <c r="E848" s="132"/>
      <c r="F848" s="132"/>
      <c r="G848" s="132"/>
      <c r="H848" s="133"/>
    </row>
    <row r="849" spans="2:8">
      <c r="B849" s="128" t="s">
        <v>1</v>
      </c>
      <c r="C849" s="129"/>
      <c r="D849" s="130"/>
      <c r="E849" s="33" t="s">
        <v>90</v>
      </c>
      <c r="F849" s="33" t="s">
        <v>87</v>
      </c>
      <c r="G849" s="70" t="s">
        <v>63</v>
      </c>
      <c r="H849" s="37" t="s">
        <v>18</v>
      </c>
    </row>
    <row r="850" spans="2:8">
      <c r="B850" s="125"/>
      <c r="C850" s="126"/>
      <c r="D850" s="127"/>
      <c r="E850" s="26"/>
      <c r="F850" s="26"/>
      <c r="G850" s="71"/>
      <c r="H850" s="38">
        <f t="shared" ref="H850:H852" si="94">F850*G850</f>
        <v>0</v>
      </c>
    </row>
    <row r="851" spans="2:8">
      <c r="B851" s="125"/>
      <c r="C851" s="126"/>
      <c r="D851" s="127"/>
      <c r="E851" s="26"/>
      <c r="F851" s="26"/>
      <c r="G851" s="71"/>
      <c r="H851" s="38">
        <f t="shared" si="94"/>
        <v>0</v>
      </c>
    </row>
    <row r="852" spans="2:8">
      <c r="B852" s="125"/>
      <c r="C852" s="126"/>
      <c r="D852" s="127"/>
      <c r="E852" s="26"/>
      <c r="F852" s="26"/>
      <c r="G852" s="71"/>
      <c r="H852" s="38">
        <f t="shared" si="94"/>
        <v>0</v>
      </c>
    </row>
    <row r="853" spans="2:8">
      <c r="B853" s="35"/>
      <c r="C853" s="28"/>
      <c r="D853" s="28"/>
      <c r="E853" s="28"/>
      <c r="F853" s="28"/>
      <c r="G853" s="70" t="s">
        <v>103</v>
      </c>
      <c r="H853" s="41">
        <f>SUM(H850:H852)</f>
        <v>0</v>
      </c>
    </row>
    <row r="854" spans="2:8">
      <c r="B854" s="35"/>
      <c r="C854" s="28"/>
      <c r="D854" s="28"/>
      <c r="E854" s="28"/>
      <c r="F854" s="28"/>
      <c r="G854" s="72"/>
      <c r="H854" s="36"/>
    </row>
    <row r="855" spans="2:8">
      <c r="B855" s="131" t="s">
        <v>104</v>
      </c>
      <c r="C855" s="132"/>
      <c r="D855" s="132"/>
      <c r="E855" s="132"/>
      <c r="F855" s="132"/>
      <c r="G855" s="132"/>
      <c r="H855" s="133"/>
    </row>
    <row r="856" spans="2:8">
      <c r="B856" s="128" t="s">
        <v>1</v>
      </c>
      <c r="C856" s="129"/>
      <c r="D856" s="130"/>
      <c r="E856" s="33" t="s">
        <v>90</v>
      </c>
      <c r="F856" s="33" t="s">
        <v>87</v>
      </c>
      <c r="G856" s="70" t="s">
        <v>63</v>
      </c>
      <c r="H856" s="37" t="s">
        <v>18</v>
      </c>
    </row>
    <row r="857" spans="2:8">
      <c r="B857" s="125" t="s">
        <v>105</v>
      </c>
      <c r="C857" s="126"/>
      <c r="D857" s="127"/>
      <c r="E857" s="26"/>
      <c r="F857" s="43">
        <v>2</v>
      </c>
      <c r="G857" s="71">
        <v>1000</v>
      </c>
      <c r="H857" s="38">
        <f t="shared" ref="H857:H860" si="95">F857*G857</f>
        <v>2000</v>
      </c>
    </row>
    <row r="858" spans="2:8">
      <c r="B858" s="125"/>
      <c r="C858" s="126"/>
      <c r="D858" s="127"/>
      <c r="E858" s="26"/>
      <c r="F858" s="26"/>
      <c r="G858" s="71"/>
      <c r="H858" s="38">
        <f t="shared" si="95"/>
        <v>0</v>
      </c>
    </row>
    <row r="859" spans="2:8">
      <c r="B859" s="125"/>
      <c r="C859" s="126"/>
      <c r="D859" s="127"/>
      <c r="E859" s="26"/>
      <c r="F859" s="26"/>
      <c r="G859" s="71"/>
      <c r="H859" s="38">
        <f t="shared" si="95"/>
        <v>0</v>
      </c>
    </row>
    <row r="860" spans="2:8">
      <c r="B860" s="125"/>
      <c r="C860" s="126"/>
      <c r="D860" s="127"/>
      <c r="E860" s="26"/>
      <c r="F860" s="26"/>
      <c r="G860" s="71"/>
      <c r="H860" s="38">
        <f t="shared" si="95"/>
        <v>0</v>
      </c>
    </row>
    <row r="861" spans="2:8">
      <c r="B861" s="35"/>
      <c r="C861" s="28"/>
      <c r="D861" s="28"/>
      <c r="E861" s="28"/>
      <c r="F861" s="28"/>
      <c r="G861" s="70" t="s">
        <v>103</v>
      </c>
      <c r="H861" s="41">
        <f>SUM(H857:H860)</f>
        <v>2000</v>
      </c>
    </row>
    <row r="862" spans="2:8">
      <c r="B862" s="35"/>
      <c r="C862" s="28"/>
      <c r="D862" s="28"/>
      <c r="E862" s="28"/>
      <c r="F862" s="28"/>
      <c r="G862" s="72"/>
      <c r="H862" s="36"/>
    </row>
    <row r="863" spans="2:8">
      <c r="B863" s="35"/>
      <c r="C863" s="28"/>
      <c r="D863" s="28"/>
      <c r="E863" s="28"/>
      <c r="F863" s="28"/>
      <c r="G863" s="72"/>
      <c r="H863" s="36"/>
    </row>
    <row r="864" spans="2:8">
      <c r="B864" s="35"/>
      <c r="C864" s="28"/>
      <c r="D864" s="28"/>
      <c r="E864" s="28"/>
      <c r="F864" s="28"/>
      <c r="G864" s="74" t="s">
        <v>49</v>
      </c>
      <c r="H864" s="44">
        <f>H827+H838+H846+H853+H861</f>
        <v>515619.45999999996</v>
      </c>
    </row>
    <row r="865" spans="2:8" ht="15" thickBot="1">
      <c r="B865" s="45"/>
      <c r="C865" s="46"/>
      <c r="D865" s="46"/>
      <c r="E865" s="46"/>
      <c r="F865" s="46"/>
      <c r="G865" s="76"/>
      <c r="H865" s="47"/>
    </row>
    <row r="866" spans="2:8" s="60" customFormat="1">
      <c r="G866" s="77"/>
    </row>
    <row r="867" spans="2:8" s="60" customFormat="1" ht="15" thickBot="1">
      <c r="G867" s="77"/>
    </row>
    <row r="868" spans="2:8">
      <c r="B868" s="141" t="s">
        <v>81</v>
      </c>
      <c r="C868" s="142"/>
      <c r="D868" s="143" t="s">
        <v>135</v>
      </c>
      <c r="E868" s="144"/>
      <c r="F868" s="144"/>
      <c r="G868" s="144"/>
      <c r="H868" s="145"/>
    </row>
    <row r="869" spans="2:8">
      <c r="B869" s="146" t="s">
        <v>151</v>
      </c>
      <c r="C869" s="147"/>
      <c r="D869" s="147"/>
      <c r="E869" s="147"/>
      <c r="F869" s="147"/>
      <c r="G869" s="147"/>
      <c r="H869" s="148"/>
    </row>
    <row r="870" spans="2:8">
      <c r="B870" s="32" t="s">
        <v>83</v>
      </c>
      <c r="C870" s="26"/>
      <c r="D870" s="28"/>
      <c r="E870" s="28"/>
      <c r="F870" s="28"/>
      <c r="G870" s="70" t="s">
        <v>84</v>
      </c>
      <c r="H870" s="34" t="s">
        <v>29</v>
      </c>
    </row>
    <row r="871" spans="2:8">
      <c r="B871" s="35"/>
      <c r="C871" s="28"/>
      <c r="D871" s="28"/>
      <c r="E871" s="28"/>
      <c r="F871" s="28"/>
      <c r="G871" s="70" t="s">
        <v>85</v>
      </c>
      <c r="H871" s="61">
        <v>7.29</v>
      </c>
    </row>
    <row r="872" spans="2:8">
      <c r="B872" s="131" t="s">
        <v>86</v>
      </c>
      <c r="C872" s="132"/>
      <c r="D872" s="132"/>
      <c r="E872" s="132"/>
      <c r="F872" s="132"/>
      <c r="G872" s="132"/>
      <c r="H872" s="133"/>
    </row>
    <row r="873" spans="2:8">
      <c r="B873" s="128" t="s">
        <v>1</v>
      </c>
      <c r="C873" s="129"/>
      <c r="D873" s="130"/>
      <c r="E873" s="33" t="s">
        <v>84</v>
      </c>
      <c r="F873" s="33" t="s">
        <v>87</v>
      </c>
      <c r="G873" s="70" t="s">
        <v>63</v>
      </c>
      <c r="H873" s="37" t="s">
        <v>18</v>
      </c>
    </row>
    <row r="874" spans="2:8">
      <c r="B874" s="125" t="s">
        <v>137</v>
      </c>
      <c r="C874" s="126"/>
      <c r="D874" s="127"/>
      <c r="E874" s="26" t="s">
        <v>100</v>
      </c>
      <c r="F874" s="26">
        <v>0.48599999999999999</v>
      </c>
      <c r="G874" s="71">
        <v>33000</v>
      </c>
      <c r="H874" s="38">
        <f t="shared" ref="H874:H876" si="96">F874*G874</f>
        <v>16038</v>
      </c>
    </row>
    <row r="875" spans="2:8" ht="22.9" customHeight="1">
      <c r="B875" s="125" t="s">
        <v>146</v>
      </c>
      <c r="C875" s="126"/>
      <c r="D875" s="127"/>
      <c r="E875" s="26" t="s">
        <v>100</v>
      </c>
      <c r="F875" s="26">
        <v>0.96</v>
      </c>
      <c r="G875" s="71">
        <v>5200</v>
      </c>
      <c r="H875" s="38">
        <f t="shared" si="96"/>
        <v>4992</v>
      </c>
    </row>
    <row r="876" spans="2:8">
      <c r="B876" s="125"/>
      <c r="C876" s="126"/>
      <c r="D876" s="127"/>
      <c r="E876" s="26"/>
      <c r="F876" s="26"/>
      <c r="G876" s="71"/>
      <c r="H876" s="38">
        <f t="shared" si="96"/>
        <v>0</v>
      </c>
    </row>
    <row r="877" spans="2:8">
      <c r="B877" s="39"/>
      <c r="C877" s="40"/>
      <c r="D877" s="40"/>
      <c r="E877" s="28"/>
      <c r="F877" s="28"/>
      <c r="G877" s="70" t="s">
        <v>88</v>
      </c>
      <c r="H877" s="41">
        <f>SUM(H874:H876)</f>
        <v>21030</v>
      </c>
    </row>
    <row r="878" spans="2:8">
      <c r="B878" s="35"/>
      <c r="C878" s="28"/>
      <c r="D878" s="28"/>
      <c r="E878" s="28"/>
      <c r="F878" s="28"/>
      <c r="G878" s="72"/>
      <c r="H878" s="36"/>
    </row>
    <row r="879" spans="2:8">
      <c r="B879" s="131" t="s">
        <v>89</v>
      </c>
      <c r="C879" s="132"/>
      <c r="D879" s="132"/>
      <c r="E879" s="132"/>
      <c r="F879" s="132"/>
      <c r="G879" s="132"/>
      <c r="H879" s="133"/>
    </row>
    <row r="880" spans="2:8">
      <c r="B880" s="128" t="s">
        <v>1</v>
      </c>
      <c r="C880" s="129"/>
      <c r="D880" s="130"/>
      <c r="E880" s="33" t="s">
        <v>90</v>
      </c>
      <c r="F880" s="33" t="s">
        <v>87</v>
      </c>
      <c r="G880" s="70" t="s">
        <v>63</v>
      </c>
      <c r="H880" s="37" t="s">
        <v>18</v>
      </c>
    </row>
    <row r="881" spans="2:8">
      <c r="B881" s="134" t="s">
        <v>138</v>
      </c>
      <c r="C881" s="135"/>
      <c r="D881" s="135"/>
      <c r="E881" s="2" t="s">
        <v>29</v>
      </c>
      <c r="F881" s="2">
        <v>1.06</v>
      </c>
      <c r="G881" s="71">
        <v>447258</v>
      </c>
      <c r="H881" s="38">
        <f>G881*F881</f>
        <v>474093.48000000004</v>
      </c>
    </row>
    <row r="882" spans="2:8">
      <c r="B882" s="136" t="s">
        <v>139</v>
      </c>
      <c r="C882" s="137"/>
      <c r="D882" s="137"/>
      <c r="E882" s="2" t="s">
        <v>21</v>
      </c>
      <c r="F882" s="2">
        <v>2</v>
      </c>
      <c r="G882" s="71">
        <v>5252</v>
      </c>
      <c r="H882" s="38">
        <f t="shared" ref="H882:H886" si="97">G882*F882</f>
        <v>10504</v>
      </c>
    </row>
    <row r="883" spans="2:8">
      <c r="B883" s="149" t="s">
        <v>140</v>
      </c>
      <c r="C883" s="150"/>
      <c r="D883" s="151"/>
      <c r="E883" s="2" t="s">
        <v>21</v>
      </c>
      <c r="F883" s="2">
        <v>2</v>
      </c>
      <c r="G883" s="71">
        <v>1812</v>
      </c>
      <c r="H883" s="38">
        <f t="shared" si="97"/>
        <v>3624</v>
      </c>
    </row>
    <row r="884" spans="2:8">
      <c r="B884" s="138" t="s">
        <v>141</v>
      </c>
      <c r="C884" s="139"/>
      <c r="D884" s="140"/>
      <c r="E884" s="2" t="s">
        <v>21</v>
      </c>
      <c r="F884" s="2">
        <v>2</v>
      </c>
      <c r="G884" s="71">
        <v>1617</v>
      </c>
      <c r="H884" s="38">
        <f t="shared" si="97"/>
        <v>3234</v>
      </c>
    </row>
    <row r="885" spans="2:8">
      <c r="B885" s="138" t="s">
        <v>149</v>
      </c>
      <c r="C885" s="139"/>
      <c r="D885" s="140"/>
      <c r="E885" s="2" t="s">
        <v>21</v>
      </c>
      <c r="F885" s="2">
        <v>2</v>
      </c>
      <c r="G885" s="71">
        <v>4638</v>
      </c>
      <c r="H885" s="38">
        <f t="shared" si="97"/>
        <v>9276</v>
      </c>
    </row>
    <row r="886" spans="2:8">
      <c r="B886" s="136" t="s">
        <v>92</v>
      </c>
      <c r="C886" s="137"/>
      <c r="D886" s="137"/>
      <c r="E886" s="2" t="s">
        <v>93</v>
      </c>
      <c r="F886" s="2">
        <v>2</v>
      </c>
      <c r="G886" s="71">
        <v>3781</v>
      </c>
      <c r="H886" s="38">
        <f t="shared" si="97"/>
        <v>7562</v>
      </c>
    </row>
    <row r="887" spans="2:8">
      <c r="B887" s="35"/>
      <c r="C887" s="28"/>
      <c r="D887" s="28"/>
      <c r="E887" s="28"/>
      <c r="F887" s="28"/>
      <c r="G887" s="70" t="s">
        <v>97</v>
      </c>
      <c r="H887" s="41">
        <f>H882+H886+H881+H883+H884+H885</f>
        <v>508293.48000000004</v>
      </c>
    </row>
    <row r="888" spans="2:8">
      <c r="B888" s="35"/>
      <c r="C888" s="28"/>
      <c r="D888" s="28"/>
      <c r="E888" s="28"/>
      <c r="F888" s="28"/>
      <c r="G888" s="72"/>
      <c r="H888" s="36"/>
    </row>
    <row r="889" spans="2:8">
      <c r="B889" s="131" t="s">
        <v>98</v>
      </c>
      <c r="C889" s="132"/>
      <c r="D889" s="132"/>
      <c r="E889" s="132"/>
      <c r="F889" s="132"/>
      <c r="G889" s="132"/>
      <c r="H889" s="133"/>
    </row>
    <row r="890" spans="2:8">
      <c r="B890" s="128" t="s">
        <v>1</v>
      </c>
      <c r="C890" s="129"/>
      <c r="D890" s="130"/>
      <c r="E890" s="33" t="s">
        <v>90</v>
      </c>
      <c r="F890" s="33" t="s">
        <v>87</v>
      </c>
      <c r="G890" s="70" t="s">
        <v>63</v>
      </c>
      <c r="H890" s="37" t="s">
        <v>18</v>
      </c>
    </row>
    <row r="891" spans="2:8">
      <c r="B891" s="125" t="s">
        <v>142</v>
      </c>
      <c r="C891" s="126"/>
      <c r="D891" s="127"/>
      <c r="E891" s="26" t="s">
        <v>100</v>
      </c>
      <c r="F891" s="26">
        <v>2.056</v>
      </c>
      <c r="G891" s="71">
        <v>95661</v>
      </c>
      <c r="H891" s="38">
        <f t="shared" ref="H891:H894" si="98">F891*G891</f>
        <v>196679.016</v>
      </c>
    </row>
    <row r="892" spans="2:8">
      <c r="B892" s="125"/>
      <c r="C892" s="126"/>
      <c r="D892" s="127"/>
      <c r="E892" s="26"/>
      <c r="F892" s="26"/>
      <c r="G892" s="71"/>
      <c r="H892" s="38">
        <f t="shared" si="98"/>
        <v>0</v>
      </c>
    </row>
    <row r="893" spans="2:8">
      <c r="B893" s="125"/>
      <c r="C893" s="126"/>
      <c r="D893" s="127"/>
      <c r="E893" s="26"/>
      <c r="F893" s="26"/>
      <c r="G893" s="71"/>
      <c r="H893" s="38">
        <f t="shared" si="98"/>
        <v>0</v>
      </c>
    </row>
    <row r="894" spans="2:8">
      <c r="B894" s="125"/>
      <c r="C894" s="126"/>
      <c r="D894" s="127"/>
      <c r="E894" s="26"/>
      <c r="F894" s="26"/>
      <c r="G894" s="71"/>
      <c r="H894" s="38">
        <f t="shared" si="98"/>
        <v>0</v>
      </c>
    </row>
    <row r="895" spans="2:8">
      <c r="B895" s="35"/>
      <c r="C895" s="28"/>
      <c r="D895" s="28"/>
      <c r="E895" s="28"/>
      <c r="F895" s="28"/>
      <c r="G895" s="70" t="s">
        <v>101</v>
      </c>
      <c r="H895" s="41">
        <f>SUM(H891:H894)</f>
        <v>196679.016</v>
      </c>
    </row>
    <row r="896" spans="2:8">
      <c r="B896" s="35"/>
      <c r="C896" s="28"/>
      <c r="D896" s="28"/>
      <c r="E896" s="28"/>
      <c r="F896" s="28"/>
      <c r="G896" s="72"/>
      <c r="H896" s="36"/>
    </row>
    <row r="897" spans="2:8">
      <c r="B897" s="131" t="s">
        <v>102</v>
      </c>
      <c r="C897" s="132"/>
      <c r="D897" s="132"/>
      <c r="E897" s="132"/>
      <c r="F897" s="132"/>
      <c r="G897" s="132"/>
      <c r="H897" s="133"/>
    </row>
    <row r="898" spans="2:8">
      <c r="B898" s="128" t="s">
        <v>1</v>
      </c>
      <c r="C898" s="129"/>
      <c r="D898" s="130"/>
      <c r="E898" s="33" t="s">
        <v>90</v>
      </c>
      <c r="F898" s="33" t="s">
        <v>87</v>
      </c>
      <c r="G898" s="70" t="s">
        <v>63</v>
      </c>
      <c r="H898" s="37" t="s">
        <v>18</v>
      </c>
    </row>
    <row r="899" spans="2:8">
      <c r="B899" s="125"/>
      <c r="C899" s="126"/>
      <c r="D899" s="127"/>
      <c r="E899" s="26"/>
      <c r="F899" s="26"/>
      <c r="G899" s="71"/>
      <c r="H899" s="38">
        <f t="shared" ref="H899:H901" si="99">F899*G899</f>
        <v>0</v>
      </c>
    </row>
    <row r="900" spans="2:8">
      <c r="B900" s="125"/>
      <c r="C900" s="126"/>
      <c r="D900" s="127"/>
      <c r="E900" s="26"/>
      <c r="F900" s="26"/>
      <c r="G900" s="71"/>
      <c r="H900" s="38">
        <f t="shared" si="99"/>
        <v>0</v>
      </c>
    </row>
    <row r="901" spans="2:8">
      <c r="B901" s="125"/>
      <c r="C901" s="126"/>
      <c r="D901" s="127"/>
      <c r="E901" s="26"/>
      <c r="F901" s="26"/>
      <c r="G901" s="71"/>
      <c r="H901" s="38">
        <f t="shared" si="99"/>
        <v>0</v>
      </c>
    </row>
    <row r="902" spans="2:8">
      <c r="B902" s="35"/>
      <c r="C902" s="28"/>
      <c r="D902" s="28"/>
      <c r="E902" s="28"/>
      <c r="F902" s="28"/>
      <c r="G902" s="70" t="s">
        <v>103</v>
      </c>
      <c r="H902" s="41">
        <f>SUM(H899:H901)</f>
        <v>0</v>
      </c>
    </row>
    <row r="903" spans="2:8">
      <c r="B903" s="35"/>
      <c r="C903" s="28"/>
      <c r="D903" s="28"/>
      <c r="E903" s="28"/>
      <c r="F903" s="28"/>
      <c r="G903" s="72"/>
      <c r="H903" s="36"/>
    </row>
    <row r="904" spans="2:8">
      <c r="B904" s="131" t="s">
        <v>104</v>
      </c>
      <c r="C904" s="132"/>
      <c r="D904" s="132"/>
      <c r="E904" s="132"/>
      <c r="F904" s="132"/>
      <c r="G904" s="132"/>
      <c r="H904" s="133"/>
    </row>
    <row r="905" spans="2:8">
      <c r="B905" s="128" t="s">
        <v>1</v>
      </c>
      <c r="C905" s="129"/>
      <c r="D905" s="130"/>
      <c r="E905" s="33" t="s">
        <v>90</v>
      </c>
      <c r="F905" s="33" t="s">
        <v>87</v>
      </c>
      <c r="G905" s="70" t="s">
        <v>63</v>
      </c>
      <c r="H905" s="37" t="s">
        <v>18</v>
      </c>
    </row>
    <row r="906" spans="2:8">
      <c r="B906" s="125" t="s">
        <v>105</v>
      </c>
      <c r="C906" s="126"/>
      <c r="D906" s="127"/>
      <c r="E906" s="26"/>
      <c r="F906" s="43">
        <v>2</v>
      </c>
      <c r="G906" s="71">
        <v>1000</v>
      </c>
      <c r="H906" s="38">
        <f t="shared" ref="H906:H909" si="100">F906*G906</f>
        <v>2000</v>
      </c>
    </row>
    <row r="907" spans="2:8">
      <c r="B907" s="125"/>
      <c r="C907" s="126"/>
      <c r="D907" s="127"/>
      <c r="E907" s="26"/>
      <c r="F907" s="26"/>
      <c r="G907" s="71"/>
      <c r="H907" s="38">
        <f t="shared" si="100"/>
        <v>0</v>
      </c>
    </row>
    <row r="908" spans="2:8">
      <c r="B908" s="125"/>
      <c r="C908" s="126"/>
      <c r="D908" s="127"/>
      <c r="E908" s="26"/>
      <c r="F908" s="26"/>
      <c r="G908" s="71"/>
      <c r="H908" s="38">
        <f t="shared" si="100"/>
        <v>0</v>
      </c>
    </row>
    <row r="909" spans="2:8">
      <c r="B909" s="125"/>
      <c r="C909" s="126"/>
      <c r="D909" s="127"/>
      <c r="E909" s="26"/>
      <c r="F909" s="26"/>
      <c r="G909" s="71"/>
      <c r="H909" s="38">
        <f t="shared" si="100"/>
        <v>0</v>
      </c>
    </row>
    <row r="910" spans="2:8">
      <c r="B910" s="35"/>
      <c r="C910" s="28"/>
      <c r="D910" s="28"/>
      <c r="E910" s="28"/>
      <c r="F910" s="28"/>
      <c r="G910" s="70" t="s">
        <v>103</v>
      </c>
      <c r="H910" s="41">
        <f>SUM(H906:H909)</f>
        <v>2000</v>
      </c>
    </row>
    <row r="911" spans="2:8">
      <c r="B911" s="35"/>
      <c r="C911" s="28"/>
      <c r="D911" s="28"/>
      <c r="E911" s="28"/>
      <c r="F911" s="28"/>
      <c r="G911" s="72"/>
      <c r="H911" s="36"/>
    </row>
    <row r="912" spans="2:8">
      <c r="B912" s="35"/>
      <c r="C912" s="28"/>
      <c r="D912" s="28"/>
      <c r="E912" s="28"/>
      <c r="F912" s="28"/>
      <c r="G912" s="72"/>
      <c r="H912" s="36"/>
    </row>
    <row r="913" spans="2:8">
      <c r="B913" s="35"/>
      <c r="C913" s="28"/>
      <c r="D913" s="28"/>
      <c r="E913" s="28"/>
      <c r="F913" s="28"/>
      <c r="G913" s="74" t="s">
        <v>49</v>
      </c>
      <c r="H913" s="44">
        <f>H877+H887+H895+H902+H910</f>
        <v>728002.49600000004</v>
      </c>
    </row>
    <row r="914" spans="2:8" ht="15" thickBot="1">
      <c r="B914" s="45"/>
      <c r="C914" s="46"/>
      <c r="D914" s="46"/>
      <c r="E914" s="46"/>
      <c r="F914" s="46"/>
      <c r="G914" s="76"/>
      <c r="H914" s="47"/>
    </row>
    <row r="915" spans="2:8" s="60" customFormat="1">
      <c r="G915" s="77"/>
    </row>
    <row r="916" spans="2:8" s="60" customFormat="1" ht="15" thickBot="1">
      <c r="G916" s="77"/>
    </row>
    <row r="917" spans="2:8">
      <c r="B917" s="141" t="s">
        <v>81</v>
      </c>
      <c r="C917" s="142"/>
      <c r="D917" s="143" t="s">
        <v>135</v>
      </c>
      <c r="E917" s="144"/>
      <c r="F917" s="144"/>
      <c r="G917" s="144"/>
      <c r="H917" s="145"/>
    </row>
    <row r="918" spans="2:8">
      <c r="B918" s="146" t="s">
        <v>152</v>
      </c>
      <c r="C918" s="147"/>
      <c r="D918" s="147"/>
      <c r="E918" s="147"/>
      <c r="F918" s="147"/>
      <c r="G918" s="147"/>
      <c r="H918" s="148"/>
    </row>
    <row r="919" spans="2:8">
      <c r="B919" s="32" t="s">
        <v>83</v>
      </c>
      <c r="C919" s="26"/>
      <c r="D919" s="28"/>
      <c r="E919" s="28"/>
      <c r="F919" s="28"/>
      <c r="G919" s="70" t="s">
        <v>84</v>
      </c>
      <c r="H919" s="34" t="s">
        <v>29</v>
      </c>
    </row>
    <row r="920" spans="2:8">
      <c r="B920" s="35"/>
      <c r="C920" s="28"/>
      <c r="D920" s="28"/>
      <c r="E920" s="28"/>
      <c r="F920" s="28"/>
      <c r="G920" s="70" t="s">
        <v>85</v>
      </c>
      <c r="H920" s="61">
        <v>20.09</v>
      </c>
    </row>
    <row r="921" spans="2:8">
      <c r="B921" s="131" t="s">
        <v>86</v>
      </c>
      <c r="C921" s="132"/>
      <c r="D921" s="132"/>
      <c r="E921" s="132"/>
      <c r="F921" s="132"/>
      <c r="G921" s="132"/>
      <c r="H921" s="133"/>
    </row>
    <row r="922" spans="2:8">
      <c r="B922" s="128" t="s">
        <v>1</v>
      </c>
      <c r="C922" s="129"/>
      <c r="D922" s="130"/>
      <c r="E922" s="33" t="s">
        <v>84</v>
      </c>
      <c r="F922" s="33" t="s">
        <v>87</v>
      </c>
      <c r="G922" s="70" t="s">
        <v>63</v>
      </c>
      <c r="H922" s="37" t="s">
        <v>18</v>
      </c>
    </row>
    <row r="923" spans="2:8">
      <c r="B923" s="125" t="s">
        <v>137</v>
      </c>
      <c r="C923" s="126"/>
      <c r="D923" s="127"/>
      <c r="E923" s="26" t="s">
        <v>100</v>
      </c>
      <c r="F923" s="26">
        <v>0.497</v>
      </c>
      <c r="G923" s="71">
        <v>33000</v>
      </c>
      <c r="H923" s="38">
        <f t="shared" ref="H923:H925" si="101">F923*G923</f>
        <v>16401</v>
      </c>
    </row>
    <row r="924" spans="2:8" ht="30.6" customHeight="1">
      <c r="B924" s="125" t="s">
        <v>146</v>
      </c>
      <c r="C924" s="126"/>
      <c r="D924" s="127"/>
      <c r="E924" s="26" t="s">
        <v>100</v>
      </c>
      <c r="F924" s="26">
        <v>0.248</v>
      </c>
      <c r="G924" s="71">
        <v>5200</v>
      </c>
      <c r="H924" s="38">
        <f t="shared" si="101"/>
        <v>1289.5999999999999</v>
      </c>
    </row>
    <row r="925" spans="2:8">
      <c r="B925" s="125"/>
      <c r="C925" s="126"/>
      <c r="D925" s="127"/>
      <c r="E925" s="26"/>
      <c r="F925" s="26"/>
      <c r="G925" s="71"/>
      <c r="H925" s="38">
        <f t="shared" si="101"/>
        <v>0</v>
      </c>
    </row>
    <row r="926" spans="2:8">
      <c r="B926" s="39"/>
      <c r="C926" s="40"/>
      <c r="D926" s="40"/>
      <c r="E926" s="28"/>
      <c r="F926" s="28"/>
      <c r="G926" s="70" t="s">
        <v>88</v>
      </c>
      <c r="H926" s="41">
        <f>SUM(H923:H925)</f>
        <v>17690.599999999999</v>
      </c>
    </row>
    <row r="927" spans="2:8">
      <c r="B927" s="35"/>
      <c r="C927" s="28"/>
      <c r="D927" s="28"/>
      <c r="E927" s="28"/>
      <c r="F927" s="28"/>
      <c r="G927" s="72"/>
      <c r="H927" s="36"/>
    </row>
    <row r="928" spans="2:8">
      <c r="B928" s="131" t="s">
        <v>89</v>
      </c>
      <c r="C928" s="132"/>
      <c r="D928" s="132"/>
      <c r="E928" s="132"/>
      <c r="F928" s="132"/>
      <c r="G928" s="132"/>
      <c r="H928" s="133"/>
    </row>
    <row r="929" spans="2:8">
      <c r="B929" s="128" t="s">
        <v>1</v>
      </c>
      <c r="C929" s="129"/>
      <c r="D929" s="130"/>
      <c r="E929" s="33" t="s">
        <v>90</v>
      </c>
      <c r="F929" s="33" t="s">
        <v>87</v>
      </c>
      <c r="G929" s="70" t="s">
        <v>63</v>
      </c>
      <c r="H929" s="37" t="s">
        <v>18</v>
      </c>
    </row>
    <row r="930" spans="2:8">
      <c r="B930" s="134" t="s">
        <v>138</v>
      </c>
      <c r="C930" s="135"/>
      <c r="D930" s="135"/>
      <c r="E930" s="2" t="s">
        <v>29</v>
      </c>
      <c r="F930" s="2">
        <v>1.091</v>
      </c>
      <c r="G930" s="71">
        <v>447258</v>
      </c>
      <c r="H930" s="38">
        <f>G930*F930</f>
        <v>487958.478</v>
      </c>
    </row>
    <row r="931" spans="2:8">
      <c r="B931" s="136" t="s">
        <v>139</v>
      </c>
      <c r="C931" s="137"/>
      <c r="D931" s="137"/>
      <c r="E931" s="2" t="s">
        <v>21</v>
      </c>
      <c r="F931" s="2">
        <v>3.8</v>
      </c>
      <c r="G931" s="71">
        <v>5252</v>
      </c>
      <c r="H931" s="38">
        <f t="shared" ref="H931:H933" si="102">G931*F931</f>
        <v>19957.599999999999</v>
      </c>
    </row>
    <row r="932" spans="2:8">
      <c r="B932" s="149" t="s">
        <v>140</v>
      </c>
      <c r="C932" s="150"/>
      <c r="D932" s="151"/>
      <c r="E932" s="2" t="s">
        <v>21</v>
      </c>
      <c r="F932" s="2">
        <v>3.8</v>
      </c>
      <c r="G932" s="71">
        <v>1812</v>
      </c>
      <c r="H932" s="38">
        <f t="shared" si="102"/>
        <v>6885.5999999999995</v>
      </c>
    </row>
    <row r="933" spans="2:8">
      <c r="B933" s="136" t="s">
        <v>92</v>
      </c>
      <c r="C933" s="137"/>
      <c r="D933" s="137"/>
      <c r="E933" s="2" t="s">
        <v>93</v>
      </c>
      <c r="F933" s="2">
        <v>1.3</v>
      </c>
      <c r="G933" s="71">
        <v>3781</v>
      </c>
      <c r="H933" s="38">
        <f t="shared" si="102"/>
        <v>4915.3</v>
      </c>
    </row>
    <row r="934" spans="2:8">
      <c r="B934" s="35"/>
      <c r="C934" s="28"/>
      <c r="D934" s="28"/>
      <c r="E934" s="28"/>
      <c r="F934" s="28"/>
      <c r="G934" s="70" t="s">
        <v>97</v>
      </c>
      <c r="H934" s="41">
        <f>H931+H933+H930+H932</f>
        <v>519716.978</v>
      </c>
    </row>
    <row r="935" spans="2:8">
      <c r="B935" s="35"/>
      <c r="C935" s="28"/>
      <c r="D935" s="28"/>
      <c r="E935" s="28"/>
      <c r="F935" s="28"/>
      <c r="G935" s="72"/>
      <c r="H935" s="36"/>
    </row>
    <row r="936" spans="2:8">
      <c r="B936" s="131" t="s">
        <v>98</v>
      </c>
      <c r="C936" s="132"/>
      <c r="D936" s="132"/>
      <c r="E936" s="132"/>
      <c r="F936" s="132"/>
      <c r="G936" s="132"/>
      <c r="H936" s="133"/>
    </row>
    <row r="937" spans="2:8">
      <c r="B937" s="128" t="s">
        <v>1</v>
      </c>
      <c r="C937" s="129"/>
      <c r="D937" s="130"/>
      <c r="E937" s="33" t="s">
        <v>90</v>
      </c>
      <c r="F937" s="33" t="s">
        <v>87</v>
      </c>
      <c r="G937" s="70" t="s">
        <v>63</v>
      </c>
      <c r="H937" s="37" t="s">
        <v>18</v>
      </c>
    </row>
    <row r="938" spans="2:8">
      <c r="B938" s="125" t="s">
        <v>142</v>
      </c>
      <c r="C938" s="126"/>
      <c r="D938" s="127"/>
      <c r="E938" s="26" t="s">
        <v>100</v>
      </c>
      <c r="F938" s="26">
        <v>0.248</v>
      </c>
      <c r="G938" s="71">
        <v>95661</v>
      </c>
      <c r="H938" s="38">
        <f t="shared" ref="H938:H941" si="103">F938*G938</f>
        <v>23723.928</v>
      </c>
    </row>
    <row r="939" spans="2:8">
      <c r="B939" s="125"/>
      <c r="C939" s="126"/>
      <c r="D939" s="127"/>
      <c r="E939" s="26"/>
      <c r="F939" s="26"/>
      <c r="G939" s="71"/>
      <c r="H939" s="38">
        <f t="shared" si="103"/>
        <v>0</v>
      </c>
    </row>
    <row r="940" spans="2:8">
      <c r="B940" s="125"/>
      <c r="C940" s="126"/>
      <c r="D940" s="127"/>
      <c r="E940" s="26"/>
      <c r="F940" s="26"/>
      <c r="G940" s="71"/>
      <c r="H940" s="38">
        <f t="shared" si="103"/>
        <v>0</v>
      </c>
    </row>
    <row r="941" spans="2:8">
      <c r="B941" s="125"/>
      <c r="C941" s="126"/>
      <c r="D941" s="127"/>
      <c r="E941" s="26"/>
      <c r="F941" s="26"/>
      <c r="G941" s="71"/>
      <c r="H941" s="38">
        <f t="shared" si="103"/>
        <v>0</v>
      </c>
    </row>
    <row r="942" spans="2:8">
      <c r="B942" s="35"/>
      <c r="C942" s="28"/>
      <c r="D942" s="28"/>
      <c r="E942" s="28"/>
      <c r="F942" s="28"/>
      <c r="G942" s="70" t="s">
        <v>101</v>
      </c>
      <c r="H942" s="41">
        <f>SUM(H938:H941)</f>
        <v>23723.928</v>
      </c>
    </row>
    <row r="943" spans="2:8">
      <c r="B943" s="35"/>
      <c r="C943" s="28"/>
      <c r="D943" s="28"/>
      <c r="E943" s="28"/>
      <c r="F943" s="28"/>
      <c r="G943" s="72"/>
      <c r="H943" s="36"/>
    </row>
    <row r="944" spans="2:8">
      <c r="B944" s="131" t="s">
        <v>102</v>
      </c>
      <c r="C944" s="132"/>
      <c r="D944" s="132"/>
      <c r="E944" s="132"/>
      <c r="F944" s="132"/>
      <c r="G944" s="132"/>
      <c r="H944" s="133"/>
    </row>
    <row r="945" spans="2:8">
      <c r="B945" s="128" t="s">
        <v>1</v>
      </c>
      <c r="C945" s="129"/>
      <c r="D945" s="130"/>
      <c r="E945" s="33" t="s">
        <v>90</v>
      </c>
      <c r="F945" s="33" t="s">
        <v>87</v>
      </c>
      <c r="G945" s="70" t="s">
        <v>63</v>
      </c>
      <c r="H945" s="37" t="s">
        <v>18</v>
      </c>
    </row>
    <row r="946" spans="2:8">
      <c r="B946" s="125"/>
      <c r="C946" s="126"/>
      <c r="D946" s="127"/>
      <c r="E946" s="26"/>
      <c r="F946" s="26"/>
      <c r="G946" s="71"/>
      <c r="H946" s="38">
        <f t="shared" ref="H946:H948" si="104">F946*G946</f>
        <v>0</v>
      </c>
    </row>
    <row r="947" spans="2:8">
      <c r="B947" s="125"/>
      <c r="C947" s="126"/>
      <c r="D947" s="127"/>
      <c r="E947" s="26"/>
      <c r="F947" s="26"/>
      <c r="G947" s="71"/>
      <c r="H947" s="38">
        <f t="shared" si="104"/>
        <v>0</v>
      </c>
    </row>
    <row r="948" spans="2:8">
      <c r="B948" s="125"/>
      <c r="C948" s="126"/>
      <c r="D948" s="127"/>
      <c r="E948" s="26"/>
      <c r="F948" s="26"/>
      <c r="G948" s="71"/>
      <c r="H948" s="38">
        <f t="shared" si="104"/>
        <v>0</v>
      </c>
    </row>
    <row r="949" spans="2:8">
      <c r="B949" s="35"/>
      <c r="C949" s="28"/>
      <c r="D949" s="28"/>
      <c r="E949" s="28"/>
      <c r="F949" s="28"/>
      <c r="G949" s="70" t="s">
        <v>103</v>
      </c>
      <c r="H949" s="41">
        <f>SUM(H946:H948)</f>
        <v>0</v>
      </c>
    </row>
    <row r="950" spans="2:8">
      <c r="B950" s="35"/>
      <c r="C950" s="28"/>
      <c r="D950" s="28"/>
      <c r="E950" s="28"/>
      <c r="F950" s="28"/>
      <c r="G950" s="72"/>
      <c r="H950" s="36"/>
    </row>
    <row r="951" spans="2:8">
      <c r="B951" s="131" t="s">
        <v>104</v>
      </c>
      <c r="C951" s="132"/>
      <c r="D951" s="132"/>
      <c r="E951" s="132"/>
      <c r="F951" s="132"/>
      <c r="G951" s="132"/>
      <c r="H951" s="133"/>
    </row>
    <row r="952" spans="2:8">
      <c r="B952" s="128" t="s">
        <v>1</v>
      </c>
      <c r="C952" s="129"/>
      <c r="D952" s="130"/>
      <c r="E952" s="33" t="s">
        <v>90</v>
      </c>
      <c r="F952" s="33" t="s">
        <v>87</v>
      </c>
      <c r="G952" s="70" t="s">
        <v>63</v>
      </c>
      <c r="H952" s="37" t="s">
        <v>18</v>
      </c>
    </row>
    <row r="953" spans="2:8">
      <c r="B953" s="125" t="s">
        <v>105</v>
      </c>
      <c r="C953" s="126"/>
      <c r="D953" s="127"/>
      <c r="E953" s="26"/>
      <c r="F953" s="43">
        <v>2</v>
      </c>
      <c r="G953" s="71">
        <v>1000</v>
      </c>
      <c r="H953" s="38">
        <f t="shared" ref="H953:H956" si="105">F953*G953</f>
        <v>2000</v>
      </c>
    </row>
    <row r="954" spans="2:8">
      <c r="B954" s="125"/>
      <c r="C954" s="126"/>
      <c r="D954" s="127"/>
      <c r="E954" s="26"/>
      <c r="F954" s="26"/>
      <c r="G954" s="71"/>
      <c r="H954" s="38">
        <f t="shared" si="105"/>
        <v>0</v>
      </c>
    </row>
    <row r="955" spans="2:8">
      <c r="B955" s="125"/>
      <c r="C955" s="126"/>
      <c r="D955" s="127"/>
      <c r="E955" s="26"/>
      <c r="F955" s="26"/>
      <c r="G955" s="71"/>
      <c r="H955" s="38">
        <f t="shared" si="105"/>
        <v>0</v>
      </c>
    </row>
    <row r="956" spans="2:8">
      <c r="B956" s="125"/>
      <c r="C956" s="126"/>
      <c r="D956" s="127"/>
      <c r="E956" s="26"/>
      <c r="F956" s="26"/>
      <c r="G956" s="71"/>
      <c r="H956" s="38">
        <f t="shared" si="105"/>
        <v>0</v>
      </c>
    </row>
    <row r="957" spans="2:8">
      <c r="B957" s="35"/>
      <c r="C957" s="28"/>
      <c r="D957" s="28"/>
      <c r="E957" s="28"/>
      <c r="F957" s="28"/>
      <c r="G957" s="70" t="s">
        <v>103</v>
      </c>
      <c r="H957" s="41">
        <f>SUM(H953:H956)</f>
        <v>2000</v>
      </c>
    </row>
    <row r="958" spans="2:8">
      <c r="B958" s="35"/>
      <c r="C958" s="28"/>
      <c r="D958" s="28"/>
      <c r="E958" s="28"/>
      <c r="F958" s="28"/>
      <c r="G958" s="72"/>
      <c r="H958" s="36"/>
    </row>
    <row r="959" spans="2:8">
      <c r="B959" s="35"/>
      <c r="C959" s="28"/>
      <c r="D959" s="28"/>
      <c r="E959" s="28"/>
      <c r="F959" s="28"/>
      <c r="G959" s="72"/>
      <c r="H959" s="36"/>
    </row>
    <row r="960" spans="2:8">
      <c r="B960" s="35"/>
      <c r="C960" s="28"/>
      <c r="D960" s="28"/>
      <c r="E960" s="28"/>
      <c r="F960" s="28"/>
      <c r="G960" s="74" t="s">
        <v>49</v>
      </c>
      <c r="H960" s="44">
        <f>H926+H934+H942+H949+H957</f>
        <v>563131.50599999994</v>
      </c>
    </row>
    <row r="961" spans="2:8" ht="15" thickBot="1">
      <c r="B961" s="45"/>
      <c r="C961" s="46"/>
      <c r="D961" s="46"/>
      <c r="E961" s="46"/>
      <c r="F961" s="46"/>
      <c r="G961" s="76"/>
      <c r="H961" s="47"/>
    </row>
    <row r="962" spans="2:8" s="60" customFormat="1">
      <c r="G962" s="77"/>
    </row>
    <row r="963" spans="2:8" s="60" customFormat="1" ht="15" thickBot="1">
      <c r="G963" s="77"/>
    </row>
    <row r="964" spans="2:8">
      <c r="B964" s="141" t="s">
        <v>81</v>
      </c>
      <c r="C964" s="142"/>
      <c r="D964" s="143" t="s">
        <v>135</v>
      </c>
      <c r="E964" s="144"/>
      <c r="F964" s="144"/>
      <c r="G964" s="144"/>
      <c r="H964" s="145"/>
    </row>
    <row r="965" spans="2:8">
      <c r="B965" s="146" t="s">
        <v>153</v>
      </c>
      <c r="C965" s="147"/>
      <c r="D965" s="147"/>
      <c r="E965" s="147"/>
      <c r="F965" s="147"/>
      <c r="G965" s="147"/>
      <c r="H965" s="148"/>
    </row>
    <row r="966" spans="2:8">
      <c r="B966" s="32" t="s">
        <v>83</v>
      </c>
      <c r="C966" s="26"/>
      <c r="D966" s="28"/>
      <c r="E966" s="28"/>
      <c r="F966" s="28"/>
      <c r="G966" s="70" t="s">
        <v>84</v>
      </c>
      <c r="H966" s="34" t="s">
        <v>29</v>
      </c>
    </row>
    <row r="967" spans="2:8">
      <c r="B967" s="35"/>
      <c r="C967" s="28"/>
      <c r="D967" s="28"/>
      <c r="E967" s="28"/>
      <c r="F967" s="28"/>
      <c r="G967" s="70" t="s">
        <v>85</v>
      </c>
      <c r="H967" s="61">
        <v>6.82</v>
      </c>
    </row>
    <row r="968" spans="2:8">
      <c r="B968" s="131" t="s">
        <v>86</v>
      </c>
      <c r="C968" s="132"/>
      <c r="D968" s="132"/>
      <c r="E968" s="132"/>
      <c r="F968" s="132"/>
      <c r="G968" s="132"/>
      <c r="H968" s="133"/>
    </row>
    <row r="969" spans="2:8">
      <c r="B969" s="128" t="s">
        <v>1</v>
      </c>
      <c r="C969" s="129"/>
      <c r="D969" s="130"/>
      <c r="E969" s="33" t="s">
        <v>84</v>
      </c>
      <c r="F969" s="33" t="s">
        <v>87</v>
      </c>
      <c r="G969" s="70" t="s">
        <v>63</v>
      </c>
      <c r="H969" s="37" t="s">
        <v>18</v>
      </c>
    </row>
    <row r="970" spans="2:8">
      <c r="B970" s="125" t="s">
        <v>137</v>
      </c>
      <c r="C970" s="126"/>
      <c r="D970" s="127"/>
      <c r="E970" s="26" t="s">
        <v>100</v>
      </c>
      <c r="F970" s="26">
        <v>0.43</v>
      </c>
      <c r="G970" s="71">
        <v>33000</v>
      </c>
      <c r="H970" s="38">
        <f>F970*G970</f>
        <v>14190</v>
      </c>
    </row>
    <row r="971" spans="2:8" ht="22.9" customHeight="1">
      <c r="B971" s="125" t="s">
        <v>146</v>
      </c>
      <c r="C971" s="126"/>
      <c r="D971" s="127"/>
      <c r="E971" s="26" t="s">
        <v>100</v>
      </c>
      <c r="F971" s="26">
        <v>4</v>
      </c>
      <c r="G971" s="71">
        <v>5200</v>
      </c>
      <c r="H971" s="38">
        <f>F971*G971</f>
        <v>20800</v>
      </c>
    </row>
    <row r="972" spans="2:8">
      <c r="B972" s="125"/>
      <c r="C972" s="126"/>
      <c r="D972" s="127"/>
      <c r="E972" s="26"/>
      <c r="F972" s="26"/>
      <c r="G972" s="71"/>
      <c r="H972" s="38">
        <f t="shared" ref="H972" si="106">F972*G972</f>
        <v>0</v>
      </c>
    </row>
    <row r="973" spans="2:8">
      <c r="B973" s="39"/>
      <c r="C973" s="40"/>
      <c r="D973" s="40"/>
      <c r="E973" s="28"/>
      <c r="F973" s="28"/>
      <c r="G973" s="70" t="s">
        <v>88</v>
      </c>
      <c r="H973" s="41">
        <f>SUM(H970:H972)</f>
        <v>34990</v>
      </c>
    </row>
    <row r="974" spans="2:8">
      <c r="B974" s="35"/>
      <c r="C974" s="28"/>
      <c r="D974" s="28"/>
      <c r="E974" s="28"/>
      <c r="F974" s="28"/>
      <c r="G974" s="72"/>
      <c r="H974" s="36"/>
    </row>
    <row r="975" spans="2:8">
      <c r="B975" s="131" t="s">
        <v>89</v>
      </c>
      <c r="C975" s="132"/>
      <c r="D975" s="132"/>
      <c r="E975" s="132"/>
      <c r="F975" s="132"/>
      <c r="G975" s="132"/>
      <c r="H975" s="133"/>
    </row>
    <row r="976" spans="2:8">
      <c r="B976" s="128" t="s">
        <v>1</v>
      </c>
      <c r="C976" s="129"/>
      <c r="D976" s="130"/>
      <c r="E976" s="33" t="s">
        <v>90</v>
      </c>
      <c r="F976" s="33" t="s">
        <v>87</v>
      </c>
      <c r="G976" s="70" t="s">
        <v>63</v>
      </c>
      <c r="H976" s="37" t="s">
        <v>18</v>
      </c>
    </row>
    <row r="977" spans="2:8">
      <c r="B977" s="134" t="s">
        <v>138</v>
      </c>
      <c r="C977" s="135"/>
      <c r="D977" s="135"/>
      <c r="E977" s="2" t="s">
        <v>29</v>
      </c>
      <c r="F977" s="2">
        <v>1.3</v>
      </c>
      <c r="G977" s="71">
        <v>447258</v>
      </c>
      <c r="H977" s="38">
        <f>G977*F977</f>
        <v>581435.4</v>
      </c>
    </row>
    <row r="978" spans="2:8">
      <c r="B978" s="136" t="s">
        <v>139</v>
      </c>
      <c r="C978" s="137"/>
      <c r="D978" s="137"/>
      <c r="E978" s="2" t="s">
        <v>21</v>
      </c>
      <c r="F978" s="2">
        <v>8</v>
      </c>
      <c r="G978" s="71">
        <v>5252</v>
      </c>
      <c r="H978" s="38">
        <f t="shared" ref="H978:H982" si="107">G978*F978</f>
        <v>42016</v>
      </c>
    </row>
    <row r="979" spans="2:8">
      <c r="B979" s="149" t="s">
        <v>140</v>
      </c>
      <c r="C979" s="150"/>
      <c r="D979" s="151"/>
      <c r="E979" s="2" t="s">
        <v>21</v>
      </c>
      <c r="F979" s="2">
        <v>3</v>
      </c>
      <c r="G979" s="71">
        <v>1812</v>
      </c>
      <c r="H979" s="38">
        <f t="shared" si="107"/>
        <v>5436</v>
      </c>
    </row>
    <row r="980" spans="2:8">
      <c r="B980" s="138" t="s">
        <v>141</v>
      </c>
      <c r="C980" s="139"/>
      <c r="D980" s="140"/>
      <c r="E980" s="2" t="s">
        <v>21</v>
      </c>
      <c r="F980" s="2">
        <v>5.2</v>
      </c>
      <c r="G980" s="71">
        <v>1617</v>
      </c>
      <c r="H980" s="38">
        <f t="shared" si="107"/>
        <v>8408.4</v>
      </c>
    </row>
    <row r="981" spans="2:8">
      <c r="B981" s="138" t="s">
        <v>149</v>
      </c>
      <c r="C981" s="139"/>
      <c r="D981" s="140"/>
      <c r="E981" s="2" t="s">
        <v>21</v>
      </c>
      <c r="F981" s="2">
        <v>2</v>
      </c>
      <c r="G981" s="71">
        <v>4638</v>
      </c>
      <c r="H981" s="38">
        <f t="shared" si="107"/>
        <v>9276</v>
      </c>
    </row>
    <row r="982" spans="2:8">
      <c r="B982" s="136" t="s">
        <v>92</v>
      </c>
      <c r="C982" s="137"/>
      <c r="D982" s="137"/>
      <c r="E982" s="2" t="s">
        <v>93</v>
      </c>
      <c r="F982" s="2">
        <v>1</v>
      </c>
      <c r="G982" s="71">
        <v>3781</v>
      </c>
      <c r="H982" s="38">
        <f t="shared" si="107"/>
        <v>3781</v>
      </c>
    </row>
    <row r="983" spans="2:8">
      <c r="B983" s="35"/>
      <c r="C983" s="28"/>
      <c r="D983" s="28"/>
      <c r="E983" s="28"/>
      <c r="F983" s="28"/>
      <c r="G983" s="70" t="s">
        <v>97</v>
      </c>
      <c r="H983" s="41">
        <f>H978+H982+H977+H979+H981+H980</f>
        <v>650352.80000000005</v>
      </c>
    </row>
    <row r="984" spans="2:8">
      <c r="B984" s="35"/>
      <c r="C984" s="28"/>
      <c r="D984" s="28"/>
      <c r="E984" s="28"/>
      <c r="F984" s="28"/>
      <c r="G984" s="72"/>
      <c r="H984" s="36"/>
    </row>
    <row r="985" spans="2:8">
      <c r="B985" s="131" t="s">
        <v>98</v>
      </c>
      <c r="C985" s="132"/>
      <c r="D985" s="132"/>
      <c r="E985" s="132"/>
      <c r="F985" s="132"/>
      <c r="G985" s="132"/>
      <c r="H985" s="133"/>
    </row>
    <row r="986" spans="2:8">
      <c r="B986" s="128" t="s">
        <v>1</v>
      </c>
      <c r="C986" s="129"/>
      <c r="D986" s="130"/>
      <c r="E986" s="33" t="s">
        <v>90</v>
      </c>
      <c r="F986" s="33" t="s">
        <v>87</v>
      </c>
      <c r="G986" s="70" t="s">
        <v>63</v>
      </c>
      <c r="H986" s="37" t="s">
        <v>18</v>
      </c>
    </row>
    <row r="987" spans="2:8">
      <c r="B987" s="125" t="s">
        <v>142</v>
      </c>
      <c r="C987" s="126"/>
      <c r="D987" s="127"/>
      <c r="E987" s="26" t="s">
        <v>100</v>
      </c>
      <c r="F987" s="26">
        <v>3</v>
      </c>
      <c r="G987" s="71">
        <v>95661</v>
      </c>
      <c r="H987" s="38">
        <f t="shared" ref="H987:H990" si="108">F987*G987</f>
        <v>286983</v>
      </c>
    </row>
    <row r="988" spans="2:8">
      <c r="B988" s="125"/>
      <c r="C988" s="126"/>
      <c r="D988" s="127"/>
      <c r="E988" s="26"/>
      <c r="F988" s="26"/>
      <c r="G988" s="71"/>
      <c r="H988" s="38">
        <f t="shared" si="108"/>
        <v>0</v>
      </c>
    </row>
    <row r="989" spans="2:8">
      <c r="B989" s="125"/>
      <c r="C989" s="126"/>
      <c r="D989" s="127"/>
      <c r="E989" s="26"/>
      <c r="F989" s="26"/>
      <c r="G989" s="71"/>
      <c r="H989" s="38">
        <f t="shared" si="108"/>
        <v>0</v>
      </c>
    </row>
    <row r="990" spans="2:8">
      <c r="B990" s="125"/>
      <c r="C990" s="126"/>
      <c r="D990" s="127"/>
      <c r="E990" s="26"/>
      <c r="F990" s="26"/>
      <c r="G990" s="71"/>
      <c r="H990" s="38">
        <f t="shared" si="108"/>
        <v>0</v>
      </c>
    </row>
    <row r="991" spans="2:8">
      <c r="B991" s="35"/>
      <c r="C991" s="28"/>
      <c r="D991" s="28"/>
      <c r="E991" s="28"/>
      <c r="F991" s="28"/>
      <c r="G991" s="70" t="s">
        <v>101</v>
      </c>
      <c r="H991" s="41">
        <f>SUM(H987:H990)</f>
        <v>286983</v>
      </c>
    </row>
    <row r="992" spans="2:8">
      <c r="B992" s="35"/>
      <c r="C992" s="28"/>
      <c r="D992" s="28"/>
      <c r="E992" s="28"/>
      <c r="F992" s="28"/>
      <c r="G992" s="72"/>
      <c r="H992" s="36"/>
    </row>
    <row r="993" spans="2:8">
      <c r="B993" s="131" t="s">
        <v>102</v>
      </c>
      <c r="C993" s="132"/>
      <c r="D993" s="132"/>
      <c r="E993" s="132"/>
      <c r="F993" s="132"/>
      <c r="G993" s="132"/>
      <c r="H993" s="133"/>
    </row>
    <row r="994" spans="2:8">
      <c r="B994" s="128" t="s">
        <v>1</v>
      </c>
      <c r="C994" s="129"/>
      <c r="D994" s="130"/>
      <c r="E994" s="33" t="s">
        <v>90</v>
      </c>
      <c r="F994" s="33" t="s">
        <v>87</v>
      </c>
      <c r="G994" s="70" t="s">
        <v>63</v>
      </c>
      <c r="H994" s="37" t="s">
        <v>18</v>
      </c>
    </row>
    <row r="995" spans="2:8">
      <c r="B995" s="125"/>
      <c r="C995" s="126"/>
      <c r="D995" s="127"/>
      <c r="E995" s="26"/>
      <c r="F995" s="26"/>
      <c r="G995" s="71"/>
      <c r="H995" s="38">
        <f t="shared" ref="H995:H997" si="109">F995*G995</f>
        <v>0</v>
      </c>
    </row>
    <row r="996" spans="2:8">
      <c r="B996" s="125"/>
      <c r="C996" s="126"/>
      <c r="D996" s="127"/>
      <c r="E996" s="26"/>
      <c r="F996" s="26"/>
      <c r="G996" s="71"/>
      <c r="H996" s="38">
        <f t="shared" si="109"/>
        <v>0</v>
      </c>
    </row>
    <row r="997" spans="2:8">
      <c r="B997" s="125"/>
      <c r="C997" s="126"/>
      <c r="D997" s="127"/>
      <c r="E997" s="26"/>
      <c r="F997" s="26"/>
      <c r="G997" s="71"/>
      <c r="H997" s="38">
        <f t="shared" si="109"/>
        <v>0</v>
      </c>
    </row>
    <row r="998" spans="2:8">
      <c r="B998" s="35"/>
      <c r="C998" s="28"/>
      <c r="D998" s="28"/>
      <c r="E998" s="28"/>
      <c r="F998" s="28"/>
      <c r="G998" s="70" t="s">
        <v>103</v>
      </c>
      <c r="H998" s="41">
        <f>SUM(H995:H997)</f>
        <v>0</v>
      </c>
    </row>
    <row r="999" spans="2:8">
      <c r="B999" s="35"/>
      <c r="C999" s="28"/>
      <c r="D999" s="28"/>
      <c r="E999" s="28"/>
      <c r="F999" s="28"/>
      <c r="G999" s="72"/>
      <c r="H999" s="36"/>
    </row>
    <row r="1000" spans="2:8">
      <c r="B1000" s="131" t="s">
        <v>104</v>
      </c>
      <c r="C1000" s="132"/>
      <c r="D1000" s="132"/>
      <c r="E1000" s="132"/>
      <c r="F1000" s="132"/>
      <c r="G1000" s="132"/>
      <c r="H1000" s="133"/>
    </row>
    <row r="1001" spans="2:8">
      <c r="B1001" s="128" t="s">
        <v>1</v>
      </c>
      <c r="C1001" s="129"/>
      <c r="D1001" s="130"/>
      <c r="E1001" s="33" t="s">
        <v>90</v>
      </c>
      <c r="F1001" s="33" t="s">
        <v>87</v>
      </c>
      <c r="G1001" s="70" t="s">
        <v>63</v>
      </c>
      <c r="H1001" s="37" t="s">
        <v>18</v>
      </c>
    </row>
    <row r="1002" spans="2:8">
      <c r="B1002" s="125" t="s">
        <v>105</v>
      </c>
      <c r="C1002" s="126"/>
      <c r="D1002" s="127"/>
      <c r="E1002" s="26"/>
      <c r="F1002" s="43">
        <v>2</v>
      </c>
      <c r="G1002" s="71">
        <v>1000</v>
      </c>
      <c r="H1002" s="38">
        <f t="shared" ref="H1002:H1005" si="110">F1002*G1002</f>
        <v>2000</v>
      </c>
    </row>
    <row r="1003" spans="2:8">
      <c r="B1003" s="125"/>
      <c r="C1003" s="126"/>
      <c r="D1003" s="127"/>
      <c r="E1003" s="26"/>
      <c r="F1003" s="26"/>
      <c r="G1003" s="71"/>
      <c r="H1003" s="38">
        <f t="shared" si="110"/>
        <v>0</v>
      </c>
    </row>
    <row r="1004" spans="2:8">
      <c r="B1004" s="125"/>
      <c r="C1004" s="126"/>
      <c r="D1004" s="127"/>
      <c r="E1004" s="26"/>
      <c r="F1004" s="26"/>
      <c r="G1004" s="71"/>
      <c r="H1004" s="38">
        <f t="shared" si="110"/>
        <v>0</v>
      </c>
    </row>
    <row r="1005" spans="2:8">
      <c r="B1005" s="125"/>
      <c r="C1005" s="126"/>
      <c r="D1005" s="127"/>
      <c r="E1005" s="26"/>
      <c r="F1005" s="26"/>
      <c r="G1005" s="71"/>
      <c r="H1005" s="38">
        <f t="shared" si="110"/>
        <v>0</v>
      </c>
    </row>
    <row r="1006" spans="2:8">
      <c r="B1006" s="35"/>
      <c r="C1006" s="28"/>
      <c r="D1006" s="28"/>
      <c r="E1006" s="28"/>
      <c r="F1006" s="28"/>
      <c r="G1006" s="70" t="s">
        <v>103</v>
      </c>
      <c r="H1006" s="41">
        <f>SUM(H1002:H1005)</f>
        <v>2000</v>
      </c>
    </row>
    <row r="1007" spans="2:8">
      <c r="B1007" s="35"/>
      <c r="C1007" s="28"/>
      <c r="D1007" s="28"/>
      <c r="E1007" s="28"/>
      <c r="F1007" s="28"/>
      <c r="G1007" s="72"/>
      <c r="H1007" s="36"/>
    </row>
    <row r="1008" spans="2:8">
      <c r="B1008" s="35"/>
      <c r="C1008" s="28"/>
      <c r="D1008" s="28"/>
      <c r="E1008" s="28"/>
      <c r="F1008" s="28"/>
      <c r="G1008" s="72"/>
      <c r="H1008" s="36"/>
    </row>
    <row r="1009" spans="2:8">
      <c r="B1009" s="35"/>
      <c r="C1009" s="28"/>
      <c r="D1009" s="28"/>
      <c r="E1009" s="28"/>
      <c r="F1009" s="28"/>
      <c r="G1009" s="74" t="s">
        <v>49</v>
      </c>
      <c r="H1009" s="44">
        <f>H973+H983+H991+H998+H1006</f>
        <v>974325.8</v>
      </c>
    </row>
    <row r="1010" spans="2:8" ht="15" thickBot="1">
      <c r="B1010" s="45"/>
      <c r="C1010" s="46"/>
      <c r="D1010" s="46"/>
      <c r="E1010" s="46"/>
      <c r="F1010" s="46"/>
      <c r="G1010" s="76"/>
      <c r="H1010" s="47"/>
    </row>
    <row r="1011" spans="2:8" s="60" customFormat="1">
      <c r="G1011" s="77"/>
    </row>
    <row r="1012" spans="2:8" s="60" customFormat="1" ht="15" thickBot="1">
      <c r="G1012" s="77"/>
    </row>
    <row r="1013" spans="2:8">
      <c r="B1013" s="141" t="s">
        <v>81</v>
      </c>
      <c r="C1013" s="142"/>
      <c r="D1013" s="143" t="s">
        <v>135</v>
      </c>
      <c r="E1013" s="144"/>
      <c r="F1013" s="144"/>
      <c r="G1013" s="144"/>
      <c r="H1013" s="145"/>
    </row>
    <row r="1014" spans="2:8">
      <c r="B1014" s="146" t="s">
        <v>154</v>
      </c>
      <c r="C1014" s="147"/>
      <c r="D1014" s="147"/>
      <c r="E1014" s="147"/>
      <c r="F1014" s="147"/>
      <c r="G1014" s="147"/>
      <c r="H1014" s="148"/>
    </row>
    <row r="1015" spans="2:8">
      <c r="B1015" s="32" t="s">
        <v>83</v>
      </c>
      <c r="C1015" s="26"/>
      <c r="D1015" s="28"/>
      <c r="E1015" s="28"/>
      <c r="F1015" s="28"/>
      <c r="G1015" s="70" t="s">
        <v>84</v>
      </c>
      <c r="H1015" s="34" t="s">
        <v>29</v>
      </c>
    </row>
    <row r="1016" spans="2:8">
      <c r="B1016" s="35"/>
      <c r="C1016" s="28"/>
      <c r="D1016" s="28"/>
      <c r="E1016" s="28"/>
      <c r="F1016" s="28"/>
      <c r="G1016" s="70" t="s">
        <v>85</v>
      </c>
      <c r="H1016" s="61">
        <v>31.5</v>
      </c>
    </row>
    <row r="1017" spans="2:8">
      <c r="B1017" s="131" t="s">
        <v>86</v>
      </c>
      <c r="C1017" s="132"/>
      <c r="D1017" s="132"/>
      <c r="E1017" s="132"/>
      <c r="F1017" s="132"/>
      <c r="G1017" s="132"/>
      <c r="H1017" s="133"/>
    </row>
    <row r="1018" spans="2:8">
      <c r="B1018" s="128" t="s">
        <v>1</v>
      </c>
      <c r="C1018" s="129"/>
      <c r="D1018" s="130"/>
      <c r="E1018" s="33" t="s">
        <v>84</v>
      </c>
      <c r="F1018" s="33" t="s">
        <v>87</v>
      </c>
      <c r="G1018" s="70" t="s">
        <v>63</v>
      </c>
      <c r="H1018" s="37" t="s">
        <v>18</v>
      </c>
    </row>
    <row r="1019" spans="2:8">
      <c r="B1019" s="125" t="s">
        <v>137</v>
      </c>
      <c r="C1019" s="126"/>
      <c r="D1019" s="127"/>
      <c r="E1019" s="26" t="s">
        <v>100</v>
      </c>
      <c r="F1019" s="26">
        <v>0.95</v>
      </c>
      <c r="G1019" s="71">
        <v>33000</v>
      </c>
      <c r="H1019" s="38">
        <f t="shared" ref="H1019:H1021" si="111">F1019*G1019</f>
        <v>31350</v>
      </c>
    </row>
    <row r="1020" spans="2:8" ht="22.15" customHeight="1">
      <c r="B1020" s="125" t="s">
        <v>146</v>
      </c>
      <c r="C1020" s="126"/>
      <c r="D1020" s="127"/>
      <c r="E1020" s="26" t="s">
        <v>100</v>
      </c>
      <c r="F1020" s="26">
        <v>0.66</v>
      </c>
      <c r="G1020" s="71">
        <v>5200</v>
      </c>
      <c r="H1020" s="38">
        <f t="shared" si="111"/>
        <v>3432</v>
      </c>
    </row>
    <row r="1021" spans="2:8">
      <c r="B1021" s="125"/>
      <c r="C1021" s="126"/>
      <c r="D1021" s="127"/>
      <c r="E1021" s="26"/>
      <c r="F1021" s="26"/>
      <c r="G1021" s="71"/>
      <c r="H1021" s="38">
        <f t="shared" si="111"/>
        <v>0</v>
      </c>
    </row>
    <row r="1022" spans="2:8">
      <c r="B1022" s="39"/>
      <c r="C1022" s="40"/>
      <c r="D1022" s="40"/>
      <c r="E1022" s="28"/>
      <c r="F1022" s="28"/>
      <c r="G1022" s="70" t="s">
        <v>88</v>
      </c>
      <c r="H1022" s="41">
        <f>SUM(H1019:H1021)</f>
        <v>34782</v>
      </c>
    </row>
    <row r="1023" spans="2:8">
      <c r="B1023" s="35"/>
      <c r="C1023" s="28"/>
      <c r="D1023" s="28"/>
      <c r="E1023" s="28"/>
      <c r="F1023" s="28"/>
      <c r="G1023" s="72"/>
      <c r="H1023" s="36"/>
    </row>
    <row r="1024" spans="2:8">
      <c r="B1024" s="131" t="s">
        <v>89</v>
      </c>
      <c r="C1024" s="132"/>
      <c r="D1024" s="132"/>
      <c r="E1024" s="132"/>
      <c r="F1024" s="132"/>
      <c r="G1024" s="132"/>
      <c r="H1024" s="133"/>
    </row>
    <row r="1025" spans="2:8">
      <c r="B1025" s="128" t="s">
        <v>1</v>
      </c>
      <c r="C1025" s="129"/>
      <c r="D1025" s="130"/>
      <c r="E1025" s="33" t="s">
        <v>90</v>
      </c>
      <c r="F1025" s="33" t="s">
        <v>87</v>
      </c>
      <c r="G1025" s="70" t="s">
        <v>63</v>
      </c>
      <c r="H1025" s="37" t="s">
        <v>18</v>
      </c>
    </row>
    <row r="1026" spans="2:8">
      <c r="B1026" s="134" t="s">
        <v>155</v>
      </c>
      <c r="C1026" s="135"/>
      <c r="D1026" s="135"/>
      <c r="E1026" s="2" t="s">
        <v>29</v>
      </c>
      <c r="F1026" s="2">
        <v>1.06</v>
      </c>
      <c r="G1026" s="71">
        <v>477100</v>
      </c>
      <c r="H1026" s="38">
        <f>G1026*F1026</f>
        <v>505726</v>
      </c>
    </row>
    <row r="1027" spans="2:8">
      <c r="B1027" s="136" t="s">
        <v>139</v>
      </c>
      <c r="C1027" s="137"/>
      <c r="D1027" s="137"/>
      <c r="E1027" s="2" t="s">
        <v>21</v>
      </c>
      <c r="F1027" s="2">
        <v>3.5</v>
      </c>
      <c r="G1027" s="71">
        <v>5252</v>
      </c>
      <c r="H1027" s="38">
        <f t="shared" ref="H1027:H1032" si="112">G1027*F1027</f>
        <v>18382</v>
      </c>
    </row>
    <row r="1028" spans="2:8">
      <c r="B1028" s="149" t="s">
        <v>140</v>
      </c>
      <c r="C1028" s="150"/>
      <c r="D1028" s="151"/>
      <c r="E1028" s="2" t="s">
        <v>21</v>
      </c>
      <c r="F1028" s="2">
        <v>6.96</v>
      </c>
      <c r="G1028" s="71">
        <v>1812</v>
      </c>
      <c r="H1028" s="38">
        <f t="shared" si="112"/>
        <v>12611.52</v>
      </c>
    </row>
    <row r="1029" spans="2:8">
      <c r="B1029" s="138" t="s">
        <v>141</v>
      </c>
      <c r="C1029" s="139"/>
      <c r="D1029" s="140"/>
      <c r="E1029" s="2" t="s">
        <v>21</v>
      </c>
      <c r="F1029" s="2">
        <v>6.27</v>
      </c>
      <c r="G1029" s="71">
        <v>1617</v>
      </c>
      <c r="H1029" s="38">
        <f t="shared" si="112"/>
        <v>10138.59</v>
      </c>
    </row>
    <row r="1030" spans="2:8" ht="31.15" customHeight="1">
      <c r="B1030" s="138" t="s">
        <v>156</v>
      </c>
      <c r="C1030" s="139"/>
      <c r="D1030" s="140"/>
      <c r="E1030" s="2" t="s">
        <v>21</v>
      </c>
      <c r="F1030" s="2">
        <v>1.05</v>
      </c>
      <c r="G1030" s="71">
        <v>26260</v>
      </c>
      <c r="H1030" s="38">
        <f t="shared" si="112"/>
        <v>27573</v>
      </c>
    </row>
    <row r="1031" spans="2:8">
      <c r="B1031" s="138" t="s">
        <v>157</v>
      </c>
      <c r="C1031" s="139"/>
      <c r="D1031" s="140"/>
      <c r="E1031" s="2" t="s">
        <v>21</v>
      </c>
      <c r="F1031" s="2">
        <v>2.4</v>
      </c>
      <c r="G1031" s="71">
        <v>13445</v>
      </c>
      <c r="H1031" s="38">
        <f t="shared" si="112"/>
        <v>32268</v>
      </c>
    </row>
    <row r="1032" spans="2:8">
      <c r="B1032" s="136" t="s">
        <v>92</v>
      </c>
      <c r="C1032" s="137"/>
      <c r="D1032" s="137"/>
      <c r="E1032" s="2" t="s">
        <v>93</v>
      </c>
      <c r="F1032" s="2">
        <v>1.26</v>
      </c>
      <c r="G1032" s="71">
        <v>3781</v>
      </c>
      <c r="H1032" s="38">
        <f t="shared" si="112"/>
        <v>4764.0600000000004</v>
      </c>
    </row>
    <row r="1033" spans="2:8">
      <c r="B1033" s="35"/>
      <c r="C1033" s="28"/>
      <c r="D1033" s="28"/>
      <c r="E1033" s="28"/>
      <c r="F1033" s="28"/>
      <c r="G1033" s="70" t="s">
        <v>97</v>
      </c>
      <c r="H1033" s="41">
        <f>H1027+H1032+H1026+H1028+H1030+H1029+H1031</f>
        <v>611463.17000000004</v>
      </c>
    </row>
    <row r="1034" spans="2:8">
      <c r="B1034" s="35"/>
      <c r="C1034" s="28"/>
      <c r="D1034" s="28"/>
      <c r="E1034" s="28"/>
      <c r="F1034" s="28"/>
      <c r="G1034" s="72"/>
      <c r="H1034" s="36"/>
    </row>
    <row r="1035" spans="2:8">
      <c r="B1035" s="131" t="s">
        <v>98</v>
      </c>
      <c r="C1035" s="132"/>
      <c r="D1035" s="132"/>
      <c r="E1035" s="132"/>
      <c r="F1035" s="132"/>
      <c r="G1035" s="132"/>
      <c r="H1035" s="133"/>
    </row>
    <row r="1036" spans="2:8">
      <c r="B1036" s="128" t="s">
        <v>1</v>
      </c>
      <c r="C1036" s="129"/>
      <c r="D1036" s="130"/>
      <c r="E1036" s="33" t="s">
        <v>90</v>
      </c>
      <c r="F1036" s="33" t="s">
        <v>87</v>
      </c>
      <c r="G1036" s="70" t="s">
        <v>63</v>
      </c>
      <c r="H1036" s="37" t="s">
        <v>18</v>
      </c>
    </row>
    <row r="1037" spans="2:8">
      <c r="B1037" s="125" t="s">
        <v>142</v>
      </c>
      <c r="C1037" s="126"/>
      <c r="D1037" s="127"/>
      <c r="E1037" s="26" t="s">
        <v>100</v>
      </c>
      <c r="F1037" s="26">
        <v>0.317</v>
      </c>
      <c r="G1037" s="71">
        <v>95661</v>
      </c>
      <c r="H1037" s="38">
        <f t="shared" ref="H1037:H1040" si="113">F1037*G1037</f>
        <v>30324.537</v>
      </c>
    </row>
    <row r="1038" spans="2:8">
      <c r="B1038" s="125"/>
      <c r="C1038" s="126"/>
      <c r="D1038" s="127"/>
      <c r="E1038" s="26"/>
      <c r="F1038" s="26"/>
      <c r="G1038" s="71"/>
      <c r="H1038" s="38">
        <f t="shared" si="113"/>
        <v>0</v>
      </c>
    </row>
    <row r="1039" spans="2:8">
      <c r="B1039" s="125"/>
      <c r="C1039" s="126"/>
      <c r="D1039" s="127"/>
      <c r="E1039" s="26"/>
      <c r="F1039" s="26"/>
      <c r="G1039" s="71"/>
      <c r="H1039" s="38">
        <f t="shared" si="113"/>
        <v>0</v>
      </c>
    </row>
    <row r="1040" spans="2:8">
      <c r="B1040" s="125"/>
      <c r="C1040" s="126"/>
      <c r="D1040" s="127"/>
      <c r="E1040" s="26"/>
      <c r="F1040" s="26"/>
      <c r="G1040" s="71"/>
      <c r="H1040" s="38">
        <f t="shared" si="113"/>
        <v>0</v>
      </c>
    </row>
    <row r="1041" spans="2:8">
      <c r="B1041" s="35"/>
      <c r="C1041" s="28"/>
      <c r="D1041" s="28"/>
      <c r="E1041" s="28"/>
      <c r="F1041" s="28"/>
      <c r="G1041" s="70" t="s">
        <v>101</v>
      </c>
      <c r="H1041" s="41">
        <f>SUM(H1037:H1040)</f>
        <v>30324.537</v>
      </c>
    </row>
    <row r="1042" spans="2:8">
      <c r="B1042" s="35"/>
      <c r="C1042" s="28"/>
      <c r="D1042" s="28"/>
      <c r="E1042" s="28"/>
      <c r="F1042" s="28"/>
      <c r="G1042" s="72"/>
      <c r="H1042" s="36"/>
    </row>
    <row r="1043" spans="2:8">
      <c r="B1043" s="131" t="s">
        <v>102</v>
      </c>
      <c r="C1043" s="132"/>
      <c r="D1043" s="132"/>
      <c r="E1043" s="132"/>
      <c r="F1043" s="132"/>
      <c r="G1043" s="132"/>
      <c r="H1043" s="133"/>
    </row>
    <row r="1044" spans="2:8">
      <c r="B1044" s="128" t="s">
        <v>1</v>
      </c>
      <c r="C1044" s="129"/>
      <c r="D1044" s="130"/>
      <c r="E1044" s="33" t="s">
        <v>90</v>
      </c>
      <c r="F1044" s="33" t="s">
        <v>87</v>
      </c>
      <c r="G1044" s="70" t="s">
        <v>63</v>
      </c>
      <c r="H1044" s="37" t="s">
        <v>18</v>
      </c>
    </row>
    <row r="1045" spans="2:8">
      <c r="B1045" s="125"/>
      <c r="C1045" s="126"/>
      <c r="D1045" s="127"/>
      <c r="E1045" s="26"/>
      <c r="F1045" s="26"/>
      <c r="G1045" s="71"/>
      <c r="H1045" s="38">
        <f t="shared" ref="H1045:H1047" si="114">F1045*G1045</f>
        <v>0</v>
      </c>
    </row>
    <row r="1046" spans="2:8">
      <c r="B1046" s="125"/>
      <c r="C1046" s="126"/>
      <c r="D1046" s="127"/>
      <c r="E1046" s="26"/>
      <c r="F1046" s="26"/>
      <c r="G1046" s="71"/>
      <c r="H1046" s="38">
        <f t="shared" si="114"/>
        <v>0</v>
      </c>
    </row>
    <row r="1047" spans="2:8">
      <c r="B1047" s="125"/>
      <c r="C1047" s="126"/>
      <c r="D1047" s="127"/>
      <c r="E1047" s="26"/>
      <c r="F1047" s="26"/>
      <c r="G1047" s="71"/>
      <c r="H1047" s="38">
        <f t="shared" si="114"/>
        <v>0</v>
      </c>
    </row>
    <row r="1048" spans="2:8">
      <c r="B1048" s="35"/>
      <c r="C1048" s="28"/>
      <c r="D1048" s="28"/>
      <c r="E1048" s="28"/>
      <c r="F1048" s="28"/>
      <c r="G1048" s="70" t="s">
        <v>103</v>
      </c>
      <c r="H1048" s="41">
        <f>SUM(H1045:H1047)</f>
        <v>0</v>
      </c>
    </row>
    <row r="1049" spans="2:8">
      <c r="B1049" s="35"/>
      <c r="C1049" s="28"/>
      <c r="D1049" s="28"/>
      <c r="E1049" s="28"/>
      <c r="F1049" s="28"/>
      <c r="G1049" s="72"/>
      <c r="H1049" s="36"/>
    </row>
    <row r="1050" spans="2:8">
      <c r="B1050" s="131" t="s">
        <v>104</v>
      </c>
      <c r="C1050" s="132"/>
      <c r="D1050" s="132"/>
      <c r="E1050" s="132"/>
      <c r="F1050" s="132"/>
      <c r="G1050" s="132"/>
      <c r="H1050" s="133"/>
    </row>
    <row r="1051" spans="2:8">
      <c r="B1051" s="128" t="s">
        <v>1</v>
      </c>
      <c r="C1051" s="129"/>
      <c r="D1051" s="130"/>
      <c r="E1051" s="33" t="s">
        <v>90</v>
      </c>
      <c r="F1051" s="33" t="s">
        <v>87</v>
      </c>
      <c r="G1051" s="70" t="s">
        <v>63</v>
      </c>
      <c r="H1051" s="37" t="s">
        <v>18</v>
      </c>
    </row>
    <row r="1052" spans="2:8">
      <c r="B1052" s="125" t="s">
        <v>105</v>
      </c>
      <c r="C1052" s="126"/>
      <c r="D1052" s="127"/>
      <c r="E1052" s="26"/>
      <c r="F1052" s="43">
        <v>2</v>
      </c>
      <c r="G1052" s="71">
        <v>1000</v>
      </c>
      <c r="H1052" s="38">
        <f t="shared" ref="H1052:H1055" si="115">F1052*G1052</f>
        <v>2000</v>
      </c>
    </row>
    <row r="1053" spans="2:8">
      <c r="B1053" s="125"/>
      <c r="C1053" s="126"/>
      <c r="D1053" s="127"/>
      <c r="E1053" s="26"/>
      <c r="F1053" s="26"/>
      <c r="G1053" s="71"/>
      <c r="H1053" s="38">
        <f t="shared" si="115"/>
        <v>0</v>
      </c>
    </row>
    <row r="1054" spans="2:8">
      <c r="B1054" s="125"/>
      <c r="C1054" s="126"/>
      <c r="D1054" s="127"/>
      <c r="E1054" s="26"/>
      <c r="F1054" s="26"/>
      <c r="G1054" s="71"/>
      <c r="H1054" s="38">
        <f t="shared" si="115"/>
        <v>0</v>
      </c>
    </row>
    <row r="1055" spans="2:8">
      <c r="B1055" s="125"/>
      <c r="C1055" s="126"/>
      <c r="D1055" s="127"/>
      <c r="E1055" s="26"/>
      <c r="F1055" s="26"/>
      <c r="G1055" s="71"/>
      <c r="H1055" s="38">
        <f t="shared" si="115"/>
        <v>0</v>
      </c>
    </row>
    <row r="1056" spans="2:8">
      <c r="B1056" s="35"/>
      <c r="C1056" s="28"/>
      <c r="D1056" s="28"/>
      <c r="E1056" s="28"/>
      <c r="F1056" s="28"/>
      <c r="G1056" s="70" t="s">
        <v>103</v>
      </c>
      <c r="H1056" s="41">
        <f>SUM(H1052:H1055)</f>
        <v>2000</v>
      </c>
    </row>
    <row r="1057" spans="2:8">
      <c r="B1057" s="35"/>
      <c r="C1057" s="28"/>
      <c r="D1057" s="28"/>
      <c r="E1057" s="28"/>
      <c r="F1057" s="28"/>
      <c r="G1057" s="72"/>
      <c r="H1057" s="36"/>
    </row>
    <row r="1058" spans="2:8">
      <c r="B1058" s="35"/>
      <c r="C1058" s="28"/>
      <c r="D1058" s="28"/>
      <c r="E1058" s="28"/>
      <c r="F1058" s="28"/>
      <c r="G1058" s="72"/>
      <c r="H1058" s="36"/>
    </row>
    <row r="1059" spans="2:8">
      <c r="B1059" s="35"/>
      <c r="C1059" s="28"/>
      <c r="D1059" s="28"/>
      <c r="E1059" s="28"/>
      <c r="F1059" s="28"/>
      <c r="G1059" s="74" t="s">
        <v>49</v>
      </c>
      <c r="H1059" s="44">
        <f>H1022+H1033+H1041+H1048+H1056</f>
        <v>678569.70700000005</v>
      </c>
    </row>
    <row r="1060" spans="2:8" ht="15" thickBot="1">
      <c r="B1060" s="45"/>
      <c r="C1060" s="46"/>
      <c r="D1060" s="46"/>
      <c r="E1060" s="46"/>
      <c r="F1060" s="46"/>
      <c r="G1060" s="76"/>
      <c r="H1060" s="47"/>
    </row>
    <row r="1061" spans="2:8" s="60" customFormat="1">
      <c r="G1061" s="77"/>
    </row>
    <row r="1062" spans="2:8" s="60" customFormat="1" ht="15" thickBot="1">
      <c r="G1062" s="77"/>
    </row>
    <row r="1063" spans="2:8">
      <c r="B1063" s="141" t="s">
        <v>81</v>
      </c>
      <c r="C1063" s="142"/>
      <c r="D1063" s="143" t="s">
        <v>135</v>
      </c>
      <c r="E1063" s="144"/>
      <c r="F1063" s="144"/>
      <c r="G1063" s="144"/>
      <c r="H1063" s="145"/>
    </row>
    <row r="1064" spans="2:8">
      <c r="B1064" s="146" t="s">
        <v>158</v>
      </c>
      <c r="C1064" s="147"/>
      <c r="D1064" s="147"/>
      <c r="E1064" s="147"/>
      <c r="F1064" s="147"/>
      <c r="G1064" s="147"/>
      <c r="H1064" s="148"/>
    </row>
    <row r="1065" spans="2:8">
      <c r="B1065" s="32" t="s">
        <v>83</v>
      </c>
      <c r="C1065" s="26"/>
      <c r="D1065" s="28"/>
      <c r="E1065" s="28"/>
      <c r="F1065" s="28"/>
      <c r="G1065" s="70" t="s">
        <v>84</v>
      </c>
      <c r="H1065" s="34" t="s">
        <v>48</v>
      </c>
    </row>
    <row r="1066" spans="2:8">
      <c r="B1066" s="35"/>
      <c r="C1066" s="28"/>
      <c r="D1066" s="28"/>
      <c r="E1066" s="28"/>
      <c r="F1066" s="28"/>
      <c r="G1066" s="70" t="s">
        <v>85</v>
      </c>
      <c r="H1066" s="61">
        <v>27294.82</v>
      </c>
    </row>
    <row r="1067" spans="2:8">
      <c r="B1067" s="131" t="s">
        <v>86</v>
      </c>
      <c r="C1067" s="132"/>
      <c r="D1067" s="132"/>
      <c r="E1067" s="132"/>
      <c r="F1067" s="132"/>
      <c r="G1067" s="132"/>
      <c r="H1067" s="133"/>
    </row>
    <row r="1068" spans="2:8">
      <c r="B1068" s="128" t="s">
        <v>1</v>
      </c>
      <c r="C1068" s="129"/>
      <c r="D1068" s="130"/>
      <c r="E1068" s="33" t="s">
        <v>84</v>
      </c>
      <c r="F1068" s="33" t="s">
        <v>87</v>
      </c>
      <c r="G1068" s="70" t="s">
        <v>63</v>
      </c>
      <c r="H1068" s="37" t="s">
        <v>18</v>
      </c>
    </row>
    <row r="1069" spans="2:8">
      <c r="B1069" s="125"/>
      <c r="C1069" s="126"/>
      <c r="D1069" s="127"/>
      <c r="E1069" s="26"/>
      <c r="F1069" s="26"/>
      <c r="G1069" s="71"/>
      <c r="H1069" s="38">
        <f t="shared" ref="H1069:H1071" si="116">F1069*G1069</f>
        <v>0</v>
      </c>
    </row>
    <row r="1070" spans="2:8">
      <c r="B1070" s="125"/>
      <c r="C1070" s="126"/>
      <c r="D1070" s="127"/>
      <c r="E1070" s="26"/>
      <c r="F1070" s="26"/>
      <c r="G1070" s="71"/>
      <c r="H1070" s="38">
        <f t="shared" si="116"/>
        <v>0</v>
      </c>
    </row>
    <row r="1071" spans="2:8">
      <c r="B1071" s="125"/>
      <c r="C1071" s="126"/>
      <c r="D1071" s="127"/>
      <c r="E1071" s="26"/>
      <c r="F1071" s="26"/>
      <c r="G1071" s="71"/>
      <c r="H1071" s="38">
        <f t="shared" si="116"/>
        <v>0</v>
      </c>
    </row>
    <row r="1072" spans="2:8">
      <c r="B1072" s="39"/>
      <c r="C1072" s="40"/>
      <c r="D1072" s="40"/>
      <c r="E1072" s="28"/>
      <c r="F1072" s="28"/>
      <c r="G1072" s="70" t="s">
        <v>88</v>
      </c>
      <c r="H1072" s="41">
        <f>SUM(H1069:H1071)</f>
        <v>0</v>
      </c>
    </row>
    <row r="1073" spans="2:8">
      <c r="B1073" s="35"/>
      <c r="C1073" s="28"/>
      <c r="D1073" s="28"/>
      <c r="E1073" s="28"/>
      <c r="F1073" s="28"/>
      <c r="G1073" s="72"/>
      <c r="H1073" s="36"/>
    </row>
    <row r="1074" spans="2:8">
      <c r="B1074" s="131" t="s">
        <v>89</v>
      </c>
      <c r="C1074" s="132"/>
      <c r="D1074" s="132"/>
      <c r="E1074" s="132"/>
      <c r="F1074" s="132"/>
      <c r="G1074" s="132"/>
      <c r="H1074" s="133"/>
    </row>
    <row r="1075" spans="2:8">
      <c r="B1075" s="128" t="s">
        <v>1</v>
      </c>
      <c r="C1075" s="129"/>
      <c r="D1075" s="130"/>
      <c r="E1075" s="33" t="s">
        <v>90</v>
      </c>
      <c r="F1075" s="33" t="s">
        <v>87</v>
      </c>
      <c r="G1075" s="70" t="s">
        <v>63</v>
      </c>
      <c r="H1075" s="37" t="s">
        <v>18</v>
      </c>
    </row>
    <row r="1076" spans="2:8">
      <c r="B1076" s="134" t="s">
        <v>159</v>
      </c>
      <c r="C1076" s="135"/>
      <c r="D1076" s="135"/>
      <c r="E1076" s="2" t="s">
        <v>48</v>
      </c>
      <c r="F1076" s="2">
        <v>1.05</v>
      </c>
      <c r="G1076" s="71">
        <v>2782</v>
      </c>
      <c r="H1076" s="38">
        <f>G1076*F1076</f>
        <v>2921.1</v>
      </c>
    </row>
    <row r="1077" spans="2:8">
      <c r="B1077" s="136" t="s">
        <v>160</v>
      </c>
      <c r="C1077" s="137"/>
      <c r="D1077" s="137"/>
      <c r="E1077" s="2" t="s">
        <v>48</v>
      </c>
      <c r="F1077" s="2">
        <v>3.15E-2</v>
      </c>
      <c r="G1077" s="71">
        <v>4204</v>
      </c>
      <c r="H1077" s="38">
        <f t="shared" ref="H1077" si="117">G1077*F1077</f>
        <v>132.42599999999999</v>
      </c>
    </row>
    <row r="1078" spans="2:8">
      <c r="B1078" s="35"/>
      <c r="C1078" s="28"/>
      <c r="D1078" s="28"/>
      <c r="E1078" s="28"/>
      <c r="F1078" s="28"/>
      <c r="G1078" s="70" t="s">
        <v>97</v>
      </c>
      <c r="H1078" s="41">
        <f>H1076+H1077</f>
        <v>3053.5259999999998</v>
      </c>
    </row>
    <row r="1079" spans="2:8">
      <c r="B1079" s="35"/>
      <c r="C1079" s="28"/>
      <c r="D1079" s="28"/>
      <c r="E1079" s="28"/>
      <c r="F1079" s="28"/>
      <c r="G1079" s="72"/>
      <c r="H1079" s="36"/>
    </row>
    <row r="1080" spans="2:8">
      <c r="B1080" s="131" t="s">
        <v>98</v>
      </c>
      <c r="C1080" s="132"/>
      <c r="D1080" s="132"/>
      <c r="E1080" s="132"/>
      <c r="F1080" s="132"/>
      <c r="G1080" s="132"/>
      <c r="H1080" s="133"/>
    </row>
    <row r="1081" spans="2:8">
      <c r="B1081" s="128" t="s">
        <v>1</v>
      </c>
      <c r="C1081" s="129"/>
      <c r="D1081" s="130"/>
      <c r="E1081" s="33" t="s">
        <v>90</v>
      </c>
      <c r="F1081" s="33" t="s">
        <v>87</v>
      </c>
      <c r="G1081" s="70" t="s">
        <v>63</v>
      </c>
      <c r="H1081" s="37" t="s">
        <v>18</v>
      </c>
    </row>
    <row r="1082" spans="2:8">
      <c r="B1082" s="125" t="s">
        <v>142</v>
      </c>
      <c r="C1082" s="126"/>
      <c r="D1082" s="127"/>
      <c r="E1082" s="26" t="s">
        <v>100</v>
      </c>
      <c r="F1082" s="94">
        <v>4.3899999999999998E-3</v>
      </c>
      <c r="G1082" s="71">
        <v>95661</v>
      </c>
      <c r="H1082" s="38">
        <f t="shared" ref="H1082:H1085" si="118">F1082*G1082</f>
        <v>419.95178999999996</v>
      </c>
    </row>
    <row r="1083" spans="2:8">
      <c r="B1083" s="125"/>
      <c r="C1083" s="126"/>
      <c r="D1083" s="127"/>
      <c r="E1083" s="26"/>
      <c r="F1083" s="26"/>
      <c r="G1083" s="71"/>
      <c r="H1083" s="38">
        <f t="shared" si="118"/>
        <v>0</v>
      </c>
    </row>
    <row r="1084" spans="2:8">
      <c r="B1084" s="125"/>
      <c r="C1084" s="126"/>
      <c r="D1084" s="127"/>
      <c r="E1084" s="26"/>
      <c r="F1084" s="26"/>
      <c r="G1084" s="71"/>
      <c r="H1084" s="38">
        <f t="shared" si="118"/>
        <v>0</v>
      </c>
    </row>
    <row r="1085" spans="2:8">
      <c r="B1085" s="125"/>
      <c r="C1085" s="126"/>
      <c r="D1085" s="127"/>
      <c r="E1085" s="26"/>
      <c r="F1085" s="26"/>
      <c r="G1085" s="71"/>
      <c r="H1085" s="38">
        <f t="shared" si="118"/>
        <v>0</v>
      </c>
    </row>
    <row r="1086" spans="2:8">
      <c r="B1086" s="35"/>
      <c r="C1086" s="28"/>
      <c r="D1086" s="28"/>
      <c r="E1086" s="28"/>
      <c r="F1086" s="28"/>
      <c r="G1086" s="70" t="s">
        <v>101</v>
      </c>
      <c r="H1086" s="41">
        <f>SUM(H1082:H1085)</f>
        <v>419.95178999999996</v>
      </c>
    </row>
    <row r="1087" spans="2:8">
      <c r="B1087" s="35"/>
      <c r="C1087" s="28"/>
      <c r="D1087" s="28"/>
      <c r="E1087" s="28"/>
      <c r="F1087" s="28"/>
      <c r="G1087" s="72"/>
      <c r="H1087" s="36"/>
    </row>
    <row r="1088" spans="2:8">
      <c r="B1088" s="131" t="s">
        <v>102</v>
      </c>
      <c r="C1088" s="132"/>
      <c r="D1088" s="132"/>
      <c r="E1088" s="132"/>
      <c r="F1088" s="132"/>
      <c r="G1088" s="132"/>
      <c r="H1088" s="133"/>
    </row>
    <row r="1089" spans="2:8">
      <c r="B1089" s="128" t="s">
        <v>1</v>
      </c>
      <c r="C1089" s="129"/>
      <c r="D1089" s="130"/>
      <c r="E1089" s="33" t="s">
        <v>90</v>
      </c>
      <c r="F1089" s="33" t="s">
        <v>87</v>
      </c>
      <c r="G1089" s="70" t="s">
        <v>63</v>
      </c>
      <c r="H1089" s="37" t="s">
        <v>18</v>
      </c>
    </row>
    <row r="1090" spans="2:8">
      <c r="B1090" s="125"/>
      <c r="C1090" s="126"/>
      <c r="D1090" s="127"/>
      <c r="E1090" s="26"/>
      <c r="F1090" s="26"/>
      <c r="G1090" s="71"/>
      <c r="H1090" s="38">
        <f t="shared" ref="H1090:H1092" si="119">F1090*G1090</f>
        <v>0</v>
      </c>
    </row>
    <row r="1091" spans="2:8">
      <c r="B1091" s="125"/>
      <c r="C1091" s="126"/>
      <c r="D1091" s="127"/>
      <c r="E1091" s="26"/>
      <c r="F1091" s="26"/>
      <c r="G1091" s="71"/>
      <c r="H1091" s="38">
        <f t="shared" si="119"/>
        <v>0</v>
      </c>
    </row>
    <row r="1092" spans="2:8">
      <c r="B1092" s="125"/>
      <c r="C1092" s="126"/>
      <c r="D1092" s="127"/>
      <c r="E1092" s="26"/>
      <c r="F1092" s="26"/>
      <c r="G1092" s="71"/>
      <c r="H1092" s="38">
        <f t="shared" si="119"/>
        <v>0</v>
      </c>
    </row>
    <row r="1093" spans="2:8">
      <c r="B1093" s="35"/>
      <c r="C1093" s="28"/>
      <c r="D1093" s="28"/>
      <c r="E1093" s="28"/>
      <c r="F1093" s="28"/>
      <c r="G1093" s="70" t="s">
        <v>103</v>
      </c>
      <c r="H1093" s="41">
        <f>SUM(H1090:H1092)</f>
        <v>0</v>
      </c>
    </row>
    <row r="1094" spans="2:8">
      <c r="B1094" s="35"/>
      <c r="C1094" s="28"/>
      <c r="D1094" s="28"/>
      <c r="E1094" s="28"/>
      <c r="F1094" s="28"/>
      <c r="G1094" s="72"/>
      <c r="H1094" s="36"/>
    </row>
    <row r="1095" spans="2:8">
      <c r="B1095" s="131" t="s">
        <v>104</v>
      </c>
      <c r="C1095" s="132"/>
      <c r="D1095" s="132"/>
      <c r="E1095" s="132"/>
      <c r="F1095" s="132"/>
      <c r="G1095" s="132"/>
      <c r="H1095" s="133"/>
    </row>
    <row r="1096" spans="2:8">
      <c r="B1096" s="128" t="s">
        <v>1</v>
      </c>
      <c r="C1096" s="129"/>
      <c r="D1096" s="130"/>
      <c r="E1096" s="33" t="s">
        <v>90</v>
      </c>
      <c r="F1096" s="33" t="s">
        <v>87</v>
      </c>
      <c r="G1096" s="70" t="s">
        <v>63</v>
      </c>
      <c r="H1096" s="37" t="s">
        <v>18</v>
      </c>
    </row>
    <row r="1097" spans="2:8">
      <c r="B1097" s="125" t="s">
        <v>105</v>
      </c>
      <c r="C1097" s="126"/>
      <c r="D1097" s="127"/>
      <c r="E1097" s="26"/>
      <c r="F1097" s="93">
        <v>0.5</v>
      </c>
      <c r="G1097" s="71">
        <v>1000</v>
      </c>
      <c r="H1097" s="38">
        <f t="shared" ref="H1097:H1100" si="120">F1097*G1097</f>
        <v>500</v>
      </c>
    </row>
    <row r="1098" spans="2:8">
      <c r="B1098" s="125"/>
      <c r="C1098" s="126"/>
      <c r="D1098" s="127"/>
      <c r="E1098" s="26"/>
      <c r="F1098" s="26"/>
      <c r="G1098" s="71"/>
      <c r="H1098" s="38">
        <f t="shared" si="120"/>
        <v>0</v>
      </c>
    </row>
    <row r="1099" spans="2:8">
      <c r="B1099" s="125"/>
      <c r="C1099" s="126"/>
      <c r="D1099" s="127"/>
      <c r="E1099" s="26"/>
      <c r="F1099" s="26"/>
      <c r="G1099" s="71"/>
      <c r="H1099" s="38">
        <f t="shared" si="120"/>
        <v>0</v>
      </c>
    </row>
    <row r="1100" spans="2:8">
      <c r="B1100" s="125"/>
      <c r="C1100" s="126"/>
      <c r="D1100" s="127"/>
      <c r="E1100" s="26"/>
      <c r="F1100" s="26"/>
      <c r="G1100" s="71"/>
      <c r="H1100" s="38">
        <f t="shared" si="120"/>
        <v>0</v>
      </c>
    </row>
    <row r="1101" spans="2:8">
      <c r="B1101" s="35"/>
      <c r="C1101" s="28"/>
      <c r="D1101" s="28"/>
      <c r="E1101" s="28"/>
      <c r="F1101" s="28"/>
      <c r="G1101" s="70" t="s">
        <v>103</v>
      </c>
      <c r="H1101" s="41">
        <f>SUM(H1097:H1100)</f>
        <v>500</v>
      </c>
    </row>
    <row r="1102" spans="2:8">
      <c r="B1102" s="35"/>
      <c r="C1102" s="28"/>
      <c r="D1102" s="28"/>
      <c r="E1102" s="28"/>
      <c r="F1102" s="28"/>
      <c r="G1102" s="72"/>
      <c r="H1102" s="36"/>
    </row>
    <row r="1103" spans="2:8">
      <c r="B1103" s="35"/>
      <c r="C1103" s="28"/>
      <c r="D1103" s="28"/>
      <c r="E1103" s="28"/>
      <c r="F1103" s="28"/>
      <c r="G1103" s="72"/>
      <c r="H1103" s="36"/>
    </row>
    <row r="1104" spans="2:8">
      <c r="B1104" s="35"/>
      <c r="C1104" s="28"/>
      <c r="D1104" s="28"/>
      <c r="E1104" s="28"/>
      <c r="F1104" s="28"/>
      <c r="G1104" s="74" t="s">
        <v>49</v>
      </c>
      <c r="H1104" s="44">
        <f>H1072+H1078+H1086+H1093+H1101</f>
        <v>3973.4777899999999</v>
      </c>
    </row>
    <row r="1105" spans="2:8" ht="15" thickBot="1">
      <c r="B1105" s="45"/>
      <c r="C1105" s="46"/>
      <c r="D1105" s="46"/>
      <c r="E1105" s="46"/>
      <c r="F1105" s="46"/>
      <c r="G1105" s="76"/>
      <c r="H1105" s="47"/>
    </row>
  </sheetData>
  <mergeCells count="737">
    <mergeCell ref="B4:C4"/>
    <mergeCell ref="B5:H5"/>
    <mergeCell ref="B26:D26"/>
    <mergeCell ref="B27:D27"/>
    <mergeCell ref="B33:D33"/>
    <mergeCell ref="B16:D16"/>
    <mergeCell ref="B17:D17"/>
    <mergeCell ref="B25:D25"/>
    <mergeCell ref="B9:D9"/>
    <mergeCell ref="B10:D10"/>
    <mergeCell ref="B11:D11"/>
    <mergeCell ref="B2:H3"/>
    <mergeCell ref="D4:H4"/>
    <mergeCell ref="B19:D19"/>
    <mergeCell ref="B20:D20"/>
    <mergeCell ref="B52:C52"/>
    <mergeCell ref="D52:H52"/>
    <mergeCell ref="B8:H8"/>
    <mergeCell ref="B15:H15"/>
    <mergeCell ref="B24:H24"/>
    <mergeCell ref="B32:H32"/>
    <mergeCell ref="B39:H39"/>
    <mergeCell ref="B12:D12"/>
    <mergeCell ref="B43:D43"/>
    <mergeCell ref="B44:D44"/>
    <mergeCell ref="B35:D35"/>
    <mergeCell ref="B36:D36"/>
    <mergeCell ref="B28:D28"/>
    <mergeCell ref="B29:D29"/>
    <mergeCell ref="B18:D18"/>
    <mergeCell ref="B21:D21"/>
    <mergeCell ref="B42:D42"/>
    <mergeCell ref="B34:D34"/>
    <mergeCell ref="B40:D40"/>
    <mergeCell ref="B41:D41"/>
    <mergeCell ref="B63:H63"/>
    <mergeCell ref="B64:D64"/>
    <mergeCell ref="B65:D65"/>
    <mergeCell ref="B66:D66"/>
    <mergeCell ref="B67:D67"/>
    <mergeCell ref="B68:D68"/>
    <mergeCell ref="B53:H53"/>
    <mergeCell ref="B56:H56"/>
    <mergeCell ref="B57:D57"/>
    <mergeCell ref="B58:D58"/>
    <mergeCell ref="B59:D59"/>
    <mergeCell ref="B60:D60"/>
    <mergeCell ref="B77:D77"/>
    <mergeCell ref="B80:H80"/>
    <mergeCell ref="B81:D81"/>
    <mergeCell ref="B82:D82"/>
    <mergeCell ref="B83:D83"/>
    <mergeCell ref="B84:D84"/>
    <mergeCell ref="B69:D69"/>
    <mergeCell ref="B72:H72"/>
    <mergeCell ref="B73:D73"/>
    <mergeCell ref="B74:D74"/>
    <mergeCell ref="B75:D75"/>
    <mergeCell ref="B76:D76"/>
    <mergeCell ref="B100:C100"/>
    <mergeCell ref="D100:H100"/>
    <mergeCell ref="B101:H101"/>
    <mergeCell ref="B104:H104"/>
    <mergeCell ref="B105:D105"/>
    <mergeCell ref="B106:D106"/>
    <mergeCell ref="B87:H87"/>
    <mergeCell ref="B88:D88"/>
    <mergeCell ref="B89:D89"/>
    <mergeCell ref="B90:D90"/>
    <mergeCell ref="B91:D91"/>
    <mergeCell ref="B92:D92"/>
    <mergeCell ref="B115:D115"/>
    <mergeCell ref="B116:D116"/>
    <mergeCell ref="B117:D117"/>
    <mergeCell ref="B120:H120"/>
    <mergeCell ref="B121:D121"/>
    <mergeCell ref="B122:D122"/>
    <mergeCell ref="B107:D107"/>
    <mergeCell ref="B108:D108"/>
    <mergeCell ref="B111:H111"/>
    <mergeCell ref="B112:D112"/>
    <mergeCell ref="B113:D113"/>
    <mergeCell ref="B114:D114"/>
    <mergeCell ref="B131:D131"/>
    <mergeCell ref="B132:D132"/>
    <mergeCell ref="B135:H135"/>
    <mergeCell ref="B136:D136"/>
    <mergeCell ref="B137:D137"/>
    <mergeCell ref="B138:D138"/>
    <mergeCell ref="B123:D123"/>
    <mergeCell ref="B124:D124"/>
    <mergeCell ref="B125:D125"/>
    <mergeCell ref="B128:H128"/>
    <mergeCell ref="B129:D129"/>
    <mergeCell ref="B130:D130"/>
    <mergeCell ref="B153:D153"/>
    <mergeCell ref="B154:D154"/>
    <mergeCell ref="B155:D155"/>
    <mergeCell ref="B156:D156"/>
    <mergeCell ref="B159:H159"/>
    <mergeCell ref="B160:D160"/>
    <mergeCell ref="B139:D139"/>
    <mergeCell ref="B140:D140"/>
    <mergeCell ref="B148:C148"/>
    <mergeCell ref="D148:H148"/>
    <mergeCell ref="B149:H149"/>
    <mergeCell ref="B152:H152"/>
    <mergeCell ref="B169:D169"/>
    <mergeCell ref="B170:D170"/>
    <mergeCell ref="B171:D171"/>
    <mergeCell ref="B172:D172"/>
    <mergeCell ref="B173:D173"/>
    <mergeCell ref="B176:H176"/>
    <mergeCell ref="B161:D161"/>
    <mergeCell ref="B162:D162"/>
    <mergeCell ref="B163:D163"/>
    <mergeCell ref="B164:D164"/>
    <mergeCell ref="B165:D165"/>
    <mergeCell ref="B168:H168"/>
    <mergeCell ref="B185:D185"/>
    <mergeCell ref="B186:D186"/>
    <mergeCell ref="B187:D187"/>
    <mergeCell ref="B188:D188"/>
    <mergeCell ref="B196:C196"/>
    <mergeCell ref="D196:H196"/>
    <mergeCell ref="B177:D177"/>
    <mergeCell ref="B178:D178"/>
    <mergeCell ref="B179:D179"/>
    <mergeCell ref="B180:D180"/>
    <mergeCell ref="B183:H183"/>
    <mergeCell ref="B184:D184"/>
    <mergeCell ref="B207:H207"/>
    <mergeCell ref="B208:D208"/>
    <mergeCell ref="B209:D209"/>
    <mergeCell ref="B210:D210"/>
    <mergeCell ref="B211:D211"/>
    <mergeCell ref="B212:D212"/>
    <mergeCell ref="B197:H197"/>
    <mergeCell ref="B200:H200"/>
    <mergeCell ref="B201:D201"/>
    <mergeCell ref="B202:D202"/>
    <mergeCell ref="B203:D203"/>
    <mergeCell ref="B204:D204"/>
    <mergeCell ref="B221:D221"/>
    <mergeCell ref="B224:H224"/>
    <mergeCell ref="B225:D225"/>
    <mergeCell ref="B226:D226"/>
    <mergeCell ref="B227:D227"/>
    <mergeCell ref="B228:D228"/>
    <mergeCell ref="B213:D213"/>
    <mergeCell ref="B216:H216"/>
    <mergeCell ref="B217:D217"/>
    <mergeCell ref="B218:D218"/>
    <mergeCell ref="B219:D219"/>
    <mergeCell ref="B220:D220"/>
    <mergeCell ref="B244:C244"/>
    <mergeCell ref="D244:H244"/>
    <mergeCell ref="B245:H245"/>
    <mergeCell ref="B248:H248"/>
    <mergeCell ref="B249:D249"/>
    <mergeCell ref="B250:D250"/>
    <mergeCell ref="B231:H231"/>
    <mergeCell ref="B232:D232"/>
    <mergeCell ref="B233:D233"/>
    <mergeCell ref="B234:D234"/>
    <mergeCell ref="B235:D235"/>
    <mergeCell ref="B236:D236"/>
    <mergeCell ref="B259:D259"/>
    <mergeCell ref="B260:D260"/>
    <mergeCell ref="B261:D261"/>
    <mergeCell ref="B264:H264"/>
    <mergeCell ref="B265:D265"/>
    <mergeCell ref="B266:D266"/>
    <mergeCell ref="B251:D251"/>
    <mergeCell ref="B252:D252"/>
    <mergeCell ref="B255:H255"/>
    <mergeCell ref="B256:D256"/>
    <mergeCell ref="B257:D257"/>
    <mergeCell ref="B258:D258"/>
    <mergeCell ref="B283:D283"/>
    <mergeCell ref="B284:D284"/>
    <mergeCell ref="B275:D275"/>
    <mergeCell ref="B276:D276"/>
    <mergeCell ref="B279:H279"/>
    <mergeCell ref="B280:D280"/>
    <mergeCell ref="B281:D281"/>
    <mergeCell ref="B282:D282"/>
    <mergeCell ref="B267:D267"/>
    <mergeCell ref="B268:D268"/>
    <mergeCell ref="B269:D269"/>
    <mergeCell ref="B272:H272"/>
    <mergeCell ref="B273:D273"/>
    <mergeCell ref="B274:D274"/>
    <mergeCell ref="B292:C292"/>
    <mergeCell ref="D292:H292"/>
    <mergeCell ref="B293:H293"/>
    <mergeCell ref="B296:H296"/>
    <mergeCell ref="B297:D297"/>
    <mergeCell ref="B298:D298"/>
    <mergeCell ref="B299:D299"/>
    <mergeCell ref="B300:D300"/>
    <mergeCell ref="B303:H303"/>
    <mergeCell ref="B304:D304"/>
    <mergeCell ref="B305:D305"/>
    <mergeCell ref="B306:D306"/>
    <mergeCell ref="B307:D307"/>
    <mergeCell ref="B308:D308"/>
    <mergeCell ref="B309:D309"/>
    <mergeCell ref="B312:H312"/>
    <mergeCell ref="B313:D313"/>
    <mergeCell ref="B314:D314"/>
    <mergeCell ref="B315:D315"/>
    <mergeCell ref="B316:D316"/>
    <mergeCell ref="B317:D317"/>
    <mergeCell ref="B320:H320"/>
    <mergeCell ref="B321:D321"/>
    <mergeCell ref="B322:D322"/>
    <mergeCell ref="B323:D323"/>
    <mergeCell ref="B324:D324"/>
    <mergeCell ref="B327:H327"/>
    <mergeCell ref="B328:D328"/>
    <mergeCell ref="B329:D329"/>
    <mergeCell ref="B330:D330"/>
    <mergeCell ref="B331:D331"/>
    <mergeCell ref="B332:D332"/>
    <mergeCell ref="B340:C340"/>
    <mergeCell ref="D340:H340"/>
    <mergeCell ref="B341:H341"/>
    <mergeCell ref="B344:H344"/>
    <mergeCell ref="B345:D345"/>
    <mergeCell ref="B346:D346"/>
    <mergeCell ref="B347:D347"/>
    <mergeCell ref="B348:D348"/>
    <mergeCell ref="B351:H351"/>
    <mergeCell ref="B352:D352"/>
    <mergeCell ref="B353:D353"/>
    <mergeCell ref="B354:D354"/>
    <mergeCell ref="B355:D355"/>
    <mergeCell ref="B356:D356"/>
    <mergeCell ref="B357:D357"/>
    <mergeCell ref="B360:H360"/>
    <mergeCell ref="B361:D361"/>
    <mergeCell ref="B362:D362"/>
    <mergeCell ref="B363:D363"/>
    <mergeCell ref="B364:D364"/>
    <mergeCell ref="B365:D365"/>
    <mergeCell ref="B368:H368"/>
    <mergeCell ref="B369:D369"/>
    <mergeCell ref="B370:D370"/>
    <mergeCell ref="B371:D371"/>
    <mergeCell ref="B372:D372"/>
    <mergeCell ref="B375:H375"/>
    <mergeCell ref="B376:D376"/>
    <mergeCell ref="B377:D377"/>
    <mergeCell ref="B378:D378"/>
    <mergeCell ref="B379:D379"/>
    <mergeCell ref="B380:D380"/>
    <mergeCell ref="B388:C388"/>
    <mergeCell ref="D388:H388"/>
    <mergeCell ref="B389:H389"/>
    <mergeCell ref="B392:H392"/>
    <mergeCell ref="B393:D393"/>
    <mergeCell ref="B394:D394"/>
    <mergeCell ref="B395:D395"/>
    <mergeCell ref="B396:D396"/>
    <mergeCell ref="B399:H399"/>
    <mergeCell ref="B400:D400"/>
    <mergeCell ref="B401:D401"/>
    <mergeCell ref="B402:D402"/>
    <mergeCell ref="B403:D403"/>
    <mergeCell ref="B404:D404"/>
    <mergeCell ref="B405:D405"/>
    <mergeCell ref="B408:H408"/>
    <mergeCell ref="B409:D409"/>
    <mergeCell ref="B410:D410"/>
    <mergeCell ref="B411:D411"/>
    <mergeCell ref="B412:D412"/>
    <mergeCell ref="B413:D413"/>
    <mergeCell ref="B416:H416"/>
    <mergeCell ref="B417:D417"/>
    <mergeCell ref="B418:D418"/>
    <mergeCell ref="B419:D419"/>
    <mergeCell ref="B420:D420"/>
    <mergeCell ref="B423:H423"/>
    <mergeCell ref="B424:D424"/>
    <mergeCell ref="B425:D425"/>
    <mergeCell ref="B426:D426"/>
    <mergeCell ref="B427:D427"/>
    <mergeCell ref="B428:D428"/>
    <mergeCell ref="B436:C436"/>
    <mergeCell ref="D436:H436"/>
    <mergeCell ref="B437:H437"/>
    <mergeCell ref="B460:D460"/>
    <mergeCell ref="B461:D461"/>
    <mergeCell ref="B440:H440"/>
    <mergeCell ref="B441:D441"/>
    <mergeCell ref="B442:D442"/>
    <mergeCell ref="B443:D443"/>
    <mergeCell ref="B444:D444"/>
    <mergeCell ref="B447:H447"/>
    <mergeCell ref="B448:D448"/>
    <mergeCell ref="B475:D475"/>
    <mergeCell ref="B476:D476"/>
    <mergeCell ref="B449:D449"/>
    <mergeCell ref="B450:D450"/>
    <mergeCell ref="B484:C484"/>
    <mergeCell ref="D484:H484"/>
    <mergeCell ref="B485:H485"/>
    <mergeCell ref="B488:H488"/>
    <mergeCell ref="B464:H464"/>
    <mergeCell ref="B465:D465"/>
    <mergeCell ref="B466:D466"/>
    <mergeCell ref="B467:D467"/>
    <mergeCell ref="B468:D468"/>
    <mergeCell ref="B471:H471"/>
    <mergeCell ref="B472:D472"/>
    <mergeCell ref="B473:D473"/>
    <mergeCell ref="B474:D474"/>
    <mergeCell ref="B451:D451"/>
    <mergeCell ref="B452:D452"/>
    <mergeCell ref="B453:D453"/>
    <mergeCell ref="B456:H456"/>
    <mergeCell ref="B457:D457"/>
    <mergeCell ref="B458:D458"/>
    <mergeCell ref="B459:D459"/>
    <mergeCell ref="B489:D489"/>
    <mergeCell ref="B490:D490"/>
    <mergeCell ref="B491:D491"/>
    <mergeCell ref="B492:D492"/>
    <mergeCell ref="B495:H495"/>
    <mergeCell ref="B496:D496"/>
    <mergeCell ref="B497:D497"/>
    <mergeCell ref="B498:D498"/>
    <mergeCell ref="B499:D499"/>
    <mergeCell ref="B500:D500"/>
    <mergeCell ref="B501:D501"/>
    <mergeCell ref="B504:H504"/>
    <mergeCell ref="B505:D505"/>
    <mergeCell ref="B506:D506"/>
    <mergeCell ref="B507:D507"/>
    <mergeCell ref="B508:D508"/>
    <mergeCell ref="B509:D509"/>
    <mergeCell ref="B512:H512"/>
    <mergeCell ref="B513:D513"/>
    <mergeCell ref="B514:D514"/>
    <mergeCell ref="B515:D515"/>
    <mergeCell ref="B516:D516"/>
    <mergeCell ref="B519:H519"/>
    <mergeCell ref="B520:D520"/>
    <mergeCell ref="B521:D521"/>
    <mergeCell ref="B522:D522"/>
    <mergeCell ref="B523:D523"/>
    <mergeCell ref="B543:H543"/>
    <mergeCell ref="B544:D544"/>
    <mergeCell ref="B545:D545"/>
    <mergeCell ref="B546:D546"/>
    <mergeCell ref="B547:D547"/>
    <mergeCell ref="B550:H550"/>
    <mergeCell ref="B551:D551"/>
    <mergeCell ref="B524:D524"/>
    <mergeCell ref="B532:C532"/>
    <mergeCell ref="D532:H532"/>
    <mergeCell ref="B533:H533"/>
    <mergeCell ref="B536:H536"/>
    <mergeCell ref="B537:D537"/>
    <mergeCell ref="B538:D538"/>
    <mergeCell ref="B539:D539"/>
    <mergeCell ref="B540:D540"/>
    <mergeCell ref="B552:D552"/>
    <mergeCell ref="B553:D553"/>
    <mergeCell ref="B554:D554"/>
    <mergeCell ref="B555:D555"/>
    <mergeCell ref="B558:H558"/>
    <mergeCell ref="B559:D559"/>
    <mergeCell ref="B560:D560"/>
    <mergeCell ref="B561:D561"/>
    <mergeCell ref="B562:D562"/>
    <mergeCell ref="B565:H565"/>
    <mergeCell ref="B566:D566"/>
    <mergeCell ref="B567:D567"/>
    <mergeCell ref="B568:D568"/>
    <mergeCell ref="B569:D569"/>
    <mergeCell ref="B570:D570"/>
    <mergeCell ref="B578:C578"/>
    <mergeCell ref="D578:H578"/>
    <mergeCell ref="B579:H579"/>
    <mergeCell ref="B582:H582"/>
    <mergeCell ref="B583:D583"/>
    <mergeCell ref="B584:D584"/>
    <mergeCell ref="B585:D585"/>
    <mergeCell ref="B586:D586"/>
    <mergeCell ref="B589:H589"/>
    <mergeCell ref="B590:D590"/>
    <mergeCell ref="B591:D591"/>
    <mergeCell ref="B592:D592"/>
    <mergeCell ref="B593:D593"/>
    <mergeCell ref="B596:H596"/>
    <mergeCell ref="B597:D597"/>
    <mergeCell ref="B598:D598"/>
    <mergeCell ref="B599:D599"/>
    <mergeCell ref="B600:D600"/>
    <mergeCell ref="B601:D601"/>
    <mergeCell ref="B604:H604"/>
    <mergeCell ref="B605:D605"/>
    <mergeCell ref="B606:D606"/>
    <mergeCell ref="B607:D607"/>
    <mergeCell ref="B608:D608"/>
    <mergeCell ref="B611:H611"/>
    <mergeCell ref="B612:D612"/>
    <mergeCell ref="B613:D613"/>
    <mergeCell ref="B614:D614"/>
    <mergeCell ref="B615:D615"/>
    <mergeCell ref="B616:D616"/>
    <mergeCell ref="B624:C624"/>
    <mergeCell ref="D624:H624"/>
    <mergeCell ref="B625:H625"/>
    <mergeCell ref="B628:H628"/>
    <mergeCell ref="B629:D629"/>
    <mergeCell ref="B630:D630"/>
    <mergeCell ref="B631:D631"/>
    <mergeCell ref="B632:D632"/>
    <mergeCell ref="B635:H635"/>
    <mergeCell ref="B636:D636"/>
    <mergeCell ref="B637:D637"/>
    <mergeCell ref="B638:D638"/>
    <mergeCell ref="B641:D641"/>
    <mergeCell ref="B644:H644"/>
    <mergeCell ref="B645:D645"/>
    <mergeCell ref="B646:D646"/>
    <mergeCell ref="B647:D647"/>
    <mergeCell ref="B648:D648"/>
    <mergeCell ref="B662:D662"/>
    <mergeCell ref="B663:D663"/>
    <mergeCell ref="B664:D664"/>
    <mergeCell ref="B639:D639"/>
    <mergeCell ref="B640:D640"/>
    <mergeCell ref="B672:C672"/>
    <mergeCell ref="D672:H672"/>
    <mergeCell ref="B673:H673"/>
    <mergeCell ref="B649:D649"/>
    <mergeCell ref="B652:H652"/>
    <mergeCell ref="B653:D653"/>
    <mergeCell ref="B654:D654"/>
    <mergeCell ref="B655:D655"/>
    <mergeCell ref="B656:D656"/>
    <mergeCell ref="B659:H659"/>
    <mergeCell ref="B660:D660"/>
    <mergeCell ref="B661:D661"/>
    <mergeCell ref="B676:H676"/>
    <mergeCell ref="B677:D677"/>
    <mergeCell ref="B678:D678"/>
    <mergeCell ref="B679:D679"/>
    <mergeCell ref="B680:D680"/>
    <mergeCell ref="B683:H683"/>
    <mergeCell ref="B684:D684"/>
    <mergeCell ref="B685:D685"/>
    <mergeCell ref="B686:D686"/>
    <mergeCell ref="B687:D687"/>
    <mergeCell ref="B688:D688"/>
    <mergeCell ref="B689:D689"/>
    <mergeCell ref="B692:H692"/>
    <mergeCell ref="B693:D693"/>
    <mergeCell ref="B694:D694"/>
    <mergeCell ref="B695:D695"/>
    <mergeCell ref="B696:D696"/>
    <mergeCell ref="B697:D697"/>
    <mergeCell ref="B700:H700"/>
    <mergeCell ref="B701:D701"/>
    <mergeCell ref="B702:D702"/>
    <mergeCell ref="B703:D703"/>
    <mergeCell ref="B704:D704"/>
    <mergeCell ref="B707:H707"/>
    <mergeCell ref="B708:D708"/>
    <mergeCell ref="B709:D709"/>
    <mergeCell ref="B710:D710"/>
    <mergeCell ref="B711:D711"/>
    <mergeCell ref="B712:D712"/>
    <mergeCell ref="B720:C720"/>
    <mergeCell ref="D720:H720"/>
    <mergeCell ref="B721:H721"/>
    <mergeCell ref="B724:H724"/>
    <mergeCell ref="B725:D725"/>
    <mergeCell ref="B726:D726"/>
    <mergeCell ref="B727:D727"/>
    <mergeCell ref="B728:D728"/>
    <mergeCell ref="B731:H731"/>
    <mergeCell ref="B732:D732"/>
    <mergeCell ref="B733:D733"/>
    <mergeCell ref="B734:D734"/>
    <mergeCell ref="B735:D735"/>
    <mergeCell ref="B736:D736"/>
    <mergeCell ref="B737:D737"/>
    <mergeCell ref="B740:H740"/>
    <mergeCell ref="B741:D741"/>
    <mergeCell ref="B742:D742"/>
    <mergeCell ref="B743:D743"/>
    <mergeCell ref="B744:D744"/>
    <mergeCell ref="B745:D745"/>
    <mergeCell ref="B748:H748"/>
    <mergeCell ref="B749:D749"/>
    <mergeCell ref="B750:D750"/>
    <mergeCell ref="B751:D751"/>
    <mergeCell ref="B752:D752"/>
    <mergeCell ref="B755:H755"/>
    <mergeCell ref="B756:D756"/>
    <mergeCell ref="B757:D757"/>
    <mergeCell ref="B758:D758"/>
    <mergeCell ref="B759:D759"/>
    <mergeCell ref="B760:D760"/>
    <mergeCell ref="B768:C768"/>
    <mergeCell ref="D768:H768"/>
    <mergeCell ref="B769:H769"/>
    <mergeCell ref="B772:H772"/>
    <mergeCell ref="B773:D773"/>
    <mergeCell ref="B774:D774"/>
    <mergeCell ref="B775:D775"/>
    <mergeCell ref="B776:D776"/>
    <mergeCell ref="B779:H779"/>
    <mergeCell ref="B780:D780"/>
    <mergeCell ref="B781:D781"/>
    <mergeCell ref="B782:D782"/>
    <mergeCell ref="B783:D783"/>
    <mergeCell ref="B784:D784"/>
    <mergeCell ref="B787:D787"/>
    <mergeCell ref="B790:H790"/>
    <mergeCell ref="B791:D791"/>
    <mergeCell ref="B792:D792"/>
    <mergeCell ref="B793:D793"/>
    <mergeCell ref="B794:D794"/>
    <mergeCell ref="B808:D808"/>
    <mergeCell ref="B809:D809"/>
    <mergeCell ref="B810:D810"/>
    <mergeCell ref="B785:D785"/>
    <mergeCell ref="B786:D786"/>
    <mergeCell ref="B818:C818"/>
    <mergeCell ref="D818:H818"/>
    <mergeCell ref="B819:H819"/>
    <mergeCell ref="B822:H822"/>
    <mergeCell ref="B795:D795"/>
    <mergeCell ref="B798:H798"/>
    <mergeCell ref="B799:D799"/>
    <mergeCell ref="B800:D800"/>
    <mergeCell ref="B801:D801"/>
    <mergeCell ref="B802:D802"/>
    <mergeCell ref="B805:H805"/>
    <mergeCell ref="B806:D806"/>
    <mergeCell ref="B807:D807"/>
    <mergeCell ref="B823:D823"/>
    <mergeCell ref="B824:D824"/>
    <mergeCell ref="B825:D825"/>
    <mergeCell ref="B826:D826"/>
    <mergeCell ref="B829:H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40:H840"/>
    <mergeCell ref="B841:D841"/>
    <mergeCell ref="B842:D842"/>
    <mergeCell ref="B843:D843"/>
    <mergeCell ref="B844:D844"/>
    <mergeCell ref="B845:D845"/>
    <mergeCell ref="B848:H848"/>
    <mergeCell ref="B849:D849"/>
    <mergeCell ref="B850:D850"/>
    <mergeCell ref="B851:D851"/>
    <mergeCell ref="B852:D852"/>
    <mergeCell ref="B855:H855"/>
    <mergeCell ref="B856:D856"/>
    <mergeCell ref="B857:D857"/>
    <mergeCell ref="B892:D892"/>
    <mergeCell ref="B873:D873"/>
    <mergeCell ref="B874:D874"/>
    <mergeCell ref="B880:D880"/>
    <mergeCell ref="B881:D881"/>
    <mergeCell ref="B882:D882"/>
    <mergeCell ref="B883:D883"/>
    <mergeCell ref="B858:D858"/>
    <mergeCell ref="B859:D859"/>
    <mergeCell ref="B860:D860"/>
    <mergeCell ref="B907:D907"/>
    <mergeCell ref="B868:C868"/>
    <mergeCell ref="D868:H868"/>
    <mergeCell ref="B869:H869"/>
    <mergeCell ref="B872:H872"/>
    <mergeCell ref="B875:D875"/>
    <mergeCell ref="B876:D876"/>
    <mergeCell ref="B879:H879"/>
    <mergeCell ref="B885:D885"/>
    <mergeCell ref="B886:D886"/>
    <mergeCell ref="B889:H889"/>
    <mergeCell ref="B893:D893"/>
    <mergeCell ref="B894:D894"/>
    <mergeCell ref="B897:H897"/>
    <mergeCell ref="B900:D900"/>
    <mergeCell ref="B901:D901"/>
    <mergeCell ref="B904:H904"/>
    <mergeCell ref="B898:D898"/>
    <mergeCell ref="B899:D899"/>
    <mergeCell ref="B905:D905"/>
    <mergeCell ref="B906:D906"/>
    <mergeCell ref="B884:D884"/>
    <mergeCell ref="B890:D890"/>
    <mergeCell ref="B891:D891"/>
    <mergeCell ref="B925:D925"/>
    <mergeCell ref="B928:H928"/>
    <mergeCell ref="B929:D929"/>
    <mergeCell ref="B930:D930"/>
    <mergeCell ref="B931:D931"/>
    <mergeCell ref="B932:D932"/>
    <mergeCell ref="B933:D933"/>
    <mergeCell ref="B908:D908"/>
    <mergeCell ref="B909:D909"/>
    <mergeCell ref="B917:C917"/>
    <mergeCell ref="D917:H917"/>
    <mergeCell ref="B918:H918"/>
    <mergeCell ref="B921:H921"/>
    <mergeCell ref="B922:D922"/>
    <mergeCell ref="B923:D923"/>
    <mergeCell ref="B924:D924"/>
    <mergeCell ref="B936:H936"/>
    <mergeCell ref="B937:D937"/>
    <mergeCell ref="B938:D938"/>
    <mergeCell ref="B939:D939"/>
    <mergeCell ref="B940:D940"/>
    <mergeCell ref="B941:D941"/>
    <mergeCell ref="B944:H944"/>
    <mergeCell ref="B945:D945"/>
    <mergeCell ref="B946:D946"/>
    <mergeCell ref="B947:D947"/>
    <mergeCell ref="B948:D948"/>
    <mergeCell ref="B951:H951"/>
    <mergeCell ref="B952:D952"/>
    <mergeCell ref="B953:D953"/>
    <mergeCell ref="B954:D954"/>
    <mergeCell ref="B955:D955"/>
    <mergeCell ref="B956:D956"/>
    <mergeCell ref="B964:C964"/>
    <mergeCell ref="D964:H964"/>
    <mergeCell ref="B965:H965"/>
    <mergeCell ref="B968:H968"/>
    <mergeCell ref="B969:D969"/>
    <mergeCell ref="B970:D970"/>
    <mergeCell ref="B971:D971"/>
    <mergeCell ref="B972:D972"/>
    <mergeCell ref="B975:H975"/>
    <mergeCell ref="B976:D976"/>
    <mergeCell ref="B977:D977"/>
    <mergeCell ref="B978:D978"/>
    <mergeCell ref="B979:D979"/>
    <mergeCell ref="B982:D982"/>
    <mergeCell ref="B985:H985"/>
    <mergeCell ref="B986:D986"/>
    <mergeCell ref="B987:D987"/>
    <mergeCell ref="B988:D988"/>
    <mergeCell ref="B989:D989"/>
    <mergeCell ref="B990:D990"/>
    <mergeCell ref="B1004:D1004"/>
    <mergeCell ref="B1005:D1005"/>
    <mergeCell ref="B980:D980"/>
    <mergeCell ref="B981:D981"/>
    <mergeCell ref="B1013:C1013"/>
    <mergeCell ref="D1013:H1013"/>
    <mergeCell ref="B1014:H1014"/>
    <mergeCell ref="B1017:H1017"/>
    <mergeCell ref="B1018:D1018"/>
    <mergeCell ref="B993:H993"/>
    <mergeCell ref="B994:D994"/>
    <mergeCell ref="B995:D995"/>
    <mergeCell ref="B996:D996"/>
    <mergeCell ref="B997:D997"/>
    <mergeCell ref="B1000:H1000"/>
    <mergeCell ref="B1001:D1001"/>
    <mergeCell ref="B1002:D1002"/>
    <mergeCell ref="B1003:D1003"/>
    <mergeCell ref="B1019:D1019"/>
    <mergeCell ref="B1020:D1020"/>
    <mergeCell ref="B1021:D1021"/>
    <mergeCell ref="B1024:H1024"/>
    <mergeCell ref="B1025:D1025"/>
    <mergeCell ref="B1026:D1026"/>
    <mergeCell ref="B1027:D1027"/>
    <mergeCell ref="B1028:D1028"/>
    <mergeCell ref="B1029:D1029"/>
    <mergeCell ref="B1030:D1030"/>
    <mergeCell ref="B1032:D1032"/>
    <mergeCell ref="B1035:H1035"/>
    <mergeCell ref="B1036:D1036"/>
    <mergeCell ref="B1037:D1037"/>
    <mergeCell ref="B1038:D1038"/>
    <mergeCell ref="B1039:D1039"/>
    <mergeCell ref="B1040:D1040"/>
    <mergeCell ref="B1043:H1043"/>
    <mergeCell ref="B1055:D1055"/>
    <mergeCell ref="B1031:D1031"/>
    <mergeCell ref="B1063:C1063"/>
    <mergeCell ref="D1063:H1063"/>
    <mergeCell ref="B1064:H1064"/>
    <mergeCell ref="B1067:H1067"/>
    <mergeCell ref="B1068:D1068"/>
    <mergeCell ref="B1069:D1069"/>
    <mergeCell ref="B1044:D1044"/>
    <mergeCell ref="B1045:D1045"/>
    <mergeCell ref="B1046:D1046"/>
    <mergeCell ref="B1047:D1047"/>
    <mergeCell ref="B1050:H1050"/>
    <mergeCell ref="B1051:D1051"/>
    <mergeCell ref="B1052:D1052"/>
    <mergeCell ref="B1053:D1053"/>
    <mergeCell ref="B1054:D1054"/>
    <mergeCell ref="B1080:H1080"/>
    <mergeCell ref="B1081:D1081"/>
    <mergeCell ref="B1082:D1082"/>
    <mergeCell ref="B1083:D1083"/>
    <mergeCell ref="B1084:D1084"/>
    <mergeCell ref="B1085:D1085"/>
    <mergeCell ref="B1088:H1088"/>
    <mergeCell ref="B1070:D1070"/>
    <mergeCell ref="B1071:D1071"/>
    <mergeCell ref="B1074:H1074"/>
    <mergeCell ref="B1075:D1075"/>
    <mergeCell ref="B1076:D1076"/>
    <mergeCell ref="B1077:D1077"/>
    <mergeCell ref="B1100:D1100"/>
    <mergeCell ref="B1089:D1089"/>
    <mergeCell ref="B1090:D1090"/>
    <mergeCell ref="B1091:D1091"/>
    <mergeCell ref="B1092:D1092"/>
    <mergeCell ref="B1095:H1095"/>
    <mergeCell ref="B1096:D1096"/>
    <mergeCell ref="B1097:D1097"/>
    <mergeCell ref="B1098:D1098"/>
    <mergeCell ref="B1099:D1099"/>
  </mergeCells>
  <pageMargins left="0.7" right="0.7" top="0.75" bottom="0.75" header="0.3" footer="0.3"/>
  <ignoredErrors>
    <ignoredError sqref="H61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F335-B002-4FC1-B797-79848B023298}">
  <dimension ref="B1:D513"/>
  <sheetViews>
    <sheetView workbookViewId="0">
      <selection activeCell="D512" sqref="D512"/>
    </sheetView>
  </sheetViews>
  <sheetFormatPr defaultColWidth="11.42578125" defaultRowHeight="14.45"/>
  <cols>
    <col min="2" max="2" width="26.42578125" customWidth="1"/>
    <col min="4" max="4" width="21.140625" customWidth="1"/>
  </cols>
  <sheetData>
    <row r="1" spans="2:4" ht="15" thickBot="1"/>
    <row r="2" spans="2:4">
      <c r="B2" s="178" t="s">
        <v>161</v>
      </c>
      <c r="C2" s="179"/>
      <c r="D2" s="180"/>
    </row>
    <row r="3" spans="2:4" ht="15" customHeight="1" thickBot="1">
      <c r="B3" s="181"/>
      <c r="C3" s="182"/>
      <c r="D3" s="183"/>
    </row>
    <row r="4" spans="2:4">
      <c r="B4" s="17" t="s">
        <v>162</v>
      </c>
      <c r="C4" s="18" t="s">
        <v>163</v>
      </c>
      <c r="D4" s="19" t="s">
        <v>164</v>
      </c>
    </row>
    <row r="5" spans="2:4" ht="20.45">
      <c r="B5" s="12" t="s">
        <v>165</v>
      </c>
      <c r="C5" s="1" t="s">
        <v>166</v>
      </c>
      <c r="D5" s="13">
        <v>4727</v>
      </c>
    </row>
    <row r="6" spans="2:4">
      <c r="B6" s="12" t="s">
        <v>167</v>
      </c>
      <c r="C6" s="1" t="s">
        <v>166</v>
      </c>
      <c r="D6" s="13">
        <v>4412</v>
      </c>
    </row>
    <row r="7" spans="2:4">
      <c r="B7" s="12" t="s">
        <v>168</v>
      </c>
      <c r="C7" s="1" t="s">
        <v>166</v>
      </c>
      <c r="D7" s="13">
        <v>6092</v>
      </c>
    </row>
    <row r="8" spans="2:4">
      <c r="B8" s="12" t="s">
        <v>169</v>
      </c>
      <c r="C8" s="1" t="s">
        <v>166</v>
      </c>
      <c r="D8" s="13">
        <v>7143</v>
      </c>
    </row>
    <row r="9" spans="2:4">
      <c r="B9" s="12" t="s">
        <v>170</v>
      </c>
      <c r="C9" s="1" t="s">
        <v>166</v>
      </c>
      <c r="D9" s="13">
        <v>8193</v>
      </c>
    </row>
    <row r="10" spans="2:4">
      <c r="B10" s="12" t="s">
        <v>171</v>
      </c>
      <c r="C10" s="1" t="s">
        <v>166</v>
      </c>
      <c r="D10" s="13">
        <v>10706</v>
      </c>
    </row>
    <row r="11" spans="2:4">
      <c r="B11" s="12" t="s">
        <v>172</v>
      </c>
      <c r="C11" s="1" t="s">
        <v>166</v>
      </c>
      <c r="D11" s="13">
        <v>5042</v>
      </c>
    </row>
    <row r="12" spans="2:4">
      <c r="B12" s="12" t="s">
        <v>173</v>
      </c>
      <c r="C12" s="1" t="s">
        <v>166</v>
      </c>
      <c r="D12" s="13">
        <v>5672</v>
      </c>
    </row>
    <row r="13" spans="2:4">
      <c r="B13" s="12" t="s">
        <v>174</v>
      </c>
      <c r="C13" s="1" t="s">
        <v>166</v>
      </c>
      <c r="D13" s="13">
        <v>6092</v>
      </c>
    </row>
    <row r="14" spans="2:4">
      <c r="B14" s="12" t="s">
        <v>175</v>
      </c>
      <c r="C14" s="1" t="s">
        <v>166</v>
      </c>
      <c r="D14" s="13">
        <v>7143</v>
      </c>
    </row>
    <row r="15" spans="2:4">
      <c r="B15" s="12" t="s">
        <v>176</v>
      </c>
      <c r="C15" s="1" t="s">
        <v>166</v>
      </c>
      <c r="D15" s="13">
        <v>7983</v>
      </c>
    </row>
    <row r="16" spans="2:4">
      <c r="B16" s="12" t="s">
        <v>177</v>
      </c>
      <c r="C16" s="1" t="s">
        <v>166</v>
      </c>
      <c r="D16" s="13">
        <v>47268</v>
      </c>
    </row>
    <row r="17" spans="2:4">
      <c r="B17" s="12" t="s">
        <v>178</v>
      </c>
      <c r="C17" s="1" t="s">
        <v>166</v>
      </c>
      <c r="D17" s="13">
        <v>32412</v>
      </c>
    </row>
    <row r="18" spans="2:4" ht="20.45">
      <c r="B18" s="12" t="s">
        <v>179</v>
      </c>
      <c r="C18" s="1" t="s">
        <v>166</v>
      </c>
      <c r="D18" s="13">
        <v>18907</v>
      </c>
    </row>
    <row r="19" spans="2:4">
      <c r="B19" s="12" t="s">
        <v>180</v>
      </c>
      <c r="C19" s="1" t="s">
        <v>166</v>
      </c>
      <c r="D19" s="13">
        <v>7810</v>
      </c>
    </row>
    <row r="20" spans="2:4" ht="20.45">
      <c r="B20" s="12" t="s">
        <v>181</v>
      </c>
      <c r="C20" s="1" t="s">
        <v>166</v>
      </c>
      <c r="D20" s="13">
        <v>10043</v>
      </c>
    </row>
    <row r="21" spans="2:4" ht="20.45">
      <c r="B21" s="12" t="s">
        <v>182</v>
      </c>
      <c r="C21" s="1" t="s">
        <v>166</v>
      </c>
      <c r="D21" s="13">
        <v>14041</v>
      </c>
    </row>
    <row r="22" spans="2:4" ht="20.45">
      <c r="B22" s="12" t="s">
        <v>183</v>
      </c>
      <c r="C22" s="1" t="s">
        <v>166</v>
      </c>
      <c r="D22" s="13">
        <v>35277</v>
      </c>
    </row>
    <row r="23" spans="2:4">
      <c r="B23" s="12" t="s">
        <v>184</v>
      </c>
      <c r="C23" s="1" t="s">
        <v>166</v>
      </c>
      <c r="D23" s="13">
        <v>48136</v>
      </c>
    </row>
    <row r="24" spans="2:4">
      <c r="B24" s="12" t="s">
        <v>185</v>
      </c>
      <c r="C24" s="1" t="s">
        <v>166</v>
      </c>
      <c r="D24" s="13">
        <v>8521</v>
      </c>
    </row>
    <row r="25" spans="2:4">
      <c r="B25" s="12" t="s">
        <v>186</v>
      </c>
      <c r="C25" s="1" t="s">
        <v>166</v>
      </c>
      <c r="D25" s="13">
        <v>1889</v>
      </c>
    </row>
    <row r="26" spans="2:4">
      <c r="B26" s="12" t="s">
        <v>187</v>
      </c>
      <c r="C26" s="1" t="s">
        <v>166</v>
      </c>
      <c r="D26" s="13">
        <v>3131</v>
      </c>
    </row>
    <row r="27" spans="2:4" ht="20.45">
      <c r="B27" s="12" t="s">
        <v>188</v>
      </c>
      <c r="C27" s="1" t="s">
        <v>166</v>
      </c>
      <c r="D27" s="13">
        <v>3324</v>
      </c>
    </row>
    <row r="28" spans="2:4">
      <c r="B28" s="12" t="s">
        <v>189</v>
      </c>
      <c r="C28" s="1" t="s">
        <v>166</v>
      </c>
      <c r="D28" s="13">
        <v>735</v>
      </c>
    </row>
    <row r="29" spans="2:4">
      <c r="B29" s="12" t="s">
        <v>190</v>
      </c>
      <c r="C29" s="1" t="s">
        <v>166</v>
      </c>
      <c r="D29" s="13">
        <v>1366</v>
      </c>
    </row>
    <row r="30" spans="2:4">
      <c r="B30" s="12" t="s">
        <v>191</v>
      </c>
      <c r="C30" s="1" t="s">
        <v>166</v>
      </c>
      <c r="D30" s="13">
        <v>2209</v>
      </c>
    </row>
    <row r="31" spans="2:4">
      <c r="B31" s="12" t="s">
        <v>192</v>
      </c>
      <c r="C31" s="1" t="s">
        <v>166</v>
      </c>
      <c r="D31" s="13">
        <v>3170</v>
      </c>
    </row>
    <row r="32" spans="2:4">
      <c r="B32" s="12" t="s">
        <v>193</v>
      </c>
      <c r="C32" s="1" t="s">
        <v>166</v>
      </c>
      <c r="D32" s="13">
        <v>7353</v>
      </c>
    </row>
    <row r="33" spans="2:4">
      <c r="B33" s="12" t="s">
        <v>194</v>
      </c>
      <c r="C33" s="1" t="s">
        <v>166</v>
      </c>
      <c r="D33" s="13">
        <v>29306</v>
      </c>
    </row>
    <row r="34" spans="2:4">
      <c r="B34" s="12" t="s">
        <v>195</v>
      </c>
      <c r="C34" s="1" t="s">
        <v>166</v>
      </c>
      <c r="D34" s="13">
        <v>30869</v>
      </c>
    </row>
    <row r="35" spans="2:4">
      <c r="B35" s="12" t="s">
        <v>196</v>
      </c>
      <c r="C35" s="1" t="s">
        <v>166</v>
      </c>
      <c r="D35" s="13">
        <v>37293</v>
      </c>
    </row>
    <row r="36" spans="2:4">
      <c r="B36" s="12" t="s">
        <v>197</v>
      </c>
      <c r="C36" s="1" t="s">
        <v>166</v>
      </c>
      <c r="D36" s="13">
        <v>154883</v>
      </c>
    </row>
    <row r="37" spans="2:4">
      <c r="B37" s="12" t="s">
        <v>198</v>
      </c>
      <c r="C37" s="1" t="s">
        <v>166</v>
      </c>
      <c r="D37" s="13">
        <v>600</v>
      </c>
    </row>
    <row r="38" spans="2:4">
      <c r="B38" s="12" t="s">
        <v>199</v>
      </c>
      <c r="C38" s="1" t="s">
        <v>166</v>
      </c>
      <c r="D38" s="13">
        <v>959</v>
      </c>
    </row>
    <row r="39" spans="2:4">
      <c r="B39" s="12" t="s">
        <v>200</v>
      </c>
      <c r="C39" s="1" t="s">
        <v>166</v>
      </c>
      <c r="D39" s="13">
        <v>1875</v>
      </c>
    </row>
    <row r="40" spans="2:4">
      <c r="B40" s="12" t="s">
        <v>201</v>
      </c>
      <c r="C40" s="1" t="s">
        <v>166</v>
      </c>
      <c r="D40" s="13">
        <v>3604</v>
      </c>
    </row>
    <row r="41" spans="2:4">
      <c r="B41" s="12" t="s">
        <v>202</v>
      </c>
      <c r="C41" s="1" t="s">
        <v>166</v>
      </c>
      <c r="D41" s="13">
        <v>6730</v>
      </c>
    </row>
    <row r="42" spans="2:4">
      <c r="B42" s="12" t="s">
        <v>203</v>
      </c>
      <c r="C42" s="1" t="s">
        <v>166</v>
      </c>
      <c r="D42" s="13">
        <v>11028</v>
      </c>
    </row>
    <row r="43" spans="2:4">
      <c r="B43" s="12" t="s">
        <v>204</v>
      </c>
      <c r="C43" s="1" t="s">
        <v>166</v>
      </c>
      <c r="D43" s="13">
        <v>31762</v>
      </c>
    </row>
    <row r="44" spans="2:4">
      <c r="B44" s="12" t="s">
        <v>205</v>
      </c>
      <c r="C44" s="1" t="s">
        <v>166</v>
      </c>
      <c r="D44" s="13">
        <v>41105</v>
      </c>
    </row>
    <row r="45" spans="2:4">
      <c r="B45" s="12" t="s">
        <v>206</v>
      </c>
      <c r="C45" s="1" t="s">
        <v>166</v>
      </c>
      <c r="D45" s="13">
        <v>3801</v>
      </c>
    </row>
    <row r="46" spans="2:4">
      <c r="B46" s="12" t="s">
        <v>207</v>
      </c>
      <c r="C46" s="1" t="s">
        <v>166</v>
      </c>
      <c r="D46" s="13">
        <v>8266</v>
      </c>
    </row>
    <row r="47" spans="2:4">
      <c r="B47" s="12" t="s">
        <v>208</v>
      </c>
      <c r="C47" s="1" t="s">
        <v>166</v>
      </c>
      <c r="D47" s="13">
        <v>15169</v>
      </c>
    </row>
    <row r="48" spans="2:4">
      <c r="B48" s="12" t="s">
        <v>209</v>
      </c>
      <c r="C48" s="1" t="s">
        <v>166</v>
      </c>
      <c r="D48" s="13">
        <v>105107</v>
      </c>
    </row>
    <row r="49" spans="2:4">
      <c r="B49" s="12" t="s">
        <v>210</v>
      </c>
      <c r="C49" s="1" t="s">
        <v>166</v>
      </c>
      <c r="D49" s="13">
        <v>25735</v>
      </c>
    </row>
    <row r="50" spans="2:4">
      <c r="B50" s="12" t="s">
        <v>211</v>
      </c>
      <c r="C50" s="1" t="s">
        <v>48</v>
      </c>
      <c r="D50" s="13">
        <v>2782</v>
      </c>
    </row>
    <row r="51" spans="2:4">
      <c r="B51" s="12" t="s">
        <v>212</v>
      </c>
      <c r="C51" s="1" t="s">
        <v>48</v>
      </c>
      <c r="D51" s="13">
        <v>2782</v>
      </c>
    </row>
    <row r="52" spans="2:4">
      <c r="B52" s="12" t="s">
        <v>213</v>
      </c>
      <c r="C52" s="1" t="s">
        <v>48</v>
      </c>
      <c r="D52" s="13">
        <v>7389</v>
      </c>
    </row>
    <row r="53" spans="2:4">
      <c r="B53" s="12" t="s">
        <v>214</v>
      </c>
      <c r="C53" s="1" t="s">
        <v>166</v>
      </c>
      <c r="D53" s="13">
        <v>2941</v>
      </c>
    </row>
    <row r="54" spans="2:4">
      <c r="B54" s="12" t="s">
        <v>215</v>
      </c>
      <c r="C54" s="1" t="s">
        <v>166</v>
      </c>
      <c r="D54" s="13">
        <v>4412</v>
      </c>
    </row>
    <row r="55" spans="2:4">
      <c r="B55" s="12" t="s">
        <v>216</v>
      </c>
      <c r="C55" s="1" t="s">
        <v>166</v>
      </c>
      <c r="D55" s="13">
        <v>3992</v>
      </c>
    </row>
    <row r="56" spans="2:4">
      <c r="B56" s="12" t="s">
        <v>217</v>
      </c>
      <c r="C56" s="1" t="s">
        <v>166</v>
      </c>
      <c r="D56" s="13">
        <v>1462</v>
      </c>
    </row>
    <row r="57" spans="2:4">
      <c r="B57" s="12" t="s">
        <v>218</v>
      </c>
      <c r="C57" s="1" t="s">
        <v>166</v>
      </c>
      <c r="D57" s="13">
        <v>951</v>
      </c>
    </row>
    <row r="58" spans="2:4">
      <c r="B58" s="12" t="s">
        <v>219</v>
      </c>
      <c r="C58" s="1" t="s">
        <v>166</v>
      </c>
      <c r="D58" s="13">
        <v>840</v>
      </c>
    </row>
    <row r="59" spans="2:4">
      <c r="B59" s="12" t="s">
        <v>220</v>
      </c>
      <c r="C59" s="1" t="s">
        <v>166</v>
      </c>
      <c r="D59" s="13">
        <v>1873</v>
      </c>
    </row>
    <row r="60" spans="2:4">
      <c r="B60" s="12" t="s">
        <v>221</v>
      </c>
      <c r="C60" s="1" t="s">
        <v>166</v>
      </c>
      <c r="D60" s="13">
        <v>3061</v>
      </c>
    </row>
    <row r="61" spans="2:4" ht="20.45">
      <c r="B61" s="12" t="s">
        <v>222</v>
      </c>
      <c r="C61" s="1" t="s">
        <v>23</v>
      </c>
      <c r="D61" s="13">
        <v>38865</v>
      </c>
    </row>
    <row r="62" spans="2:4">
      <c r="B62" s="12" t="s">
        <v>223</v>
      </c>
      <c r="C62" s="1" t="s">
        <v>224</v>
      </c>
      <c r="D62" s="13">
        <v>31</v>
      </c>
    </row>
    <row r="63" spans="2:4">
      <c r="B63" s="12" t="s">
        <v>225</v>
      </c>
      <c r="C63" s="1" t="s">
        <v>21</v>
      </c>
      <c r="D63" s="13">
        <v>2176</v>
      </c>
    </row>
    <row r="64" spans="2:4">
      <c r="B64" s="12" t="s">
        <v>226</v>
      </c>
      <c r="C64" s="1" t="s">
        <v>21</v>
      </c>
      <c r="D64" s="13">
        <v>1336</v>
      </c>
    </row>
    <row r="65" spans="2:4">
      <c r="B65" s="12" t="s">
        <v>227</v>
      </c>
      <c r="C65" s="1" t="s">
        <v>21</v>
      </c>
      <c r="D65" s="13">
        <v>939</v>
      </c>
    </row>
    <row r="66" spans="2:4">
      <c r="B66" s="12" t="s">
        <v>228</v>
      </c>
      <c r="C66" s="1" t="s">
        <v>21</v>
      </c>
      <c r="D66" s="13">
        <v>2288</v>
      </c>
    </row>
    <row r="67" spans="2:4">
      <c r="B67" s="12" t="s">
        <v>229</v>
      </c>
      <c r="C67" s="1" t="s">
        <v>21</v>
      </c>
      <c r="D67" s="13">
        <v>1434</v>
      </c>
    </row>
    <row r="68" spans="2:4">
      <c r="B68" s="12" t="s">
        <v>230</v>
      </c>
      <c r="C68" s="1" t="s">
        <v>21</v>
      </c>
      <c r="D68" s="13">
        <v>984</v>
      </c>
    </row>
    <row r="69" spans="2:4">
      <c r="B69" s="12" t="s">
        <v>231</v>
      </c>
      <c r="C69" s="1" t="s">
        <v>21</v>
      </c>
      <c r="D69" s="13">
        <v>359</v>
      </c>
    </row>
    <row r="70" spans="2:4">
      <c r="B70" s="12" t="s">
        <v>232</v>
      </c>
      <c r="C70" s="1" t="s">
        <v>48</v>
      </c>
      <c r="D70" s="13">
        <v>4204</v>
      </c>
    </row>
    <row r="71" spans="2:4">
      <c r="B71" s="12" t="s">
        <v>233</v>
      </c>
      <c r="C71" s="1" t="s">
        <v>166</v>
      </c>
      <c r="D71" s="13">
        <v>26260</v>
      </c>
    </row>
    <row r="72" spans="2:4">
      <c r="B72" s="12" t="s">
        <v>234</v>
      </c>
      <c r="C72" s="1" t="s">
        <v>166</v>
      </c>
      <c r="D72" s="13">
        <v>3676</v>
      </c>
    </row>
    <row r="73" spans="2:4">
      <c r="B73" s="12" t="s">
        <v>235</v>
      </c>
      <c r="C73" s="1" t="s">
        <v>166</v>
      </c>
      <c r="D73" s="13">
        <v>5042</v>
      </c>
    </row>
    <row r="74" spans="2:4">
      <c r="B74" s="12" t="s">
        <v>236</v>
      </c>
      <c r="C74" s="1" t="s">
        <v>166</v>
      </c>
      <c r="D74" s="13">
        <v>3518840</v>
      </c>
    </row>
    <row r="75" spans="2:4">
      <c r="B75" s="12" t="s">
        <v>237</v>
      </c>
      <c r="C75" s="1" t="s">
        <v>29</v>
      </c>
      <c r="D75" s="13">
        <v>46302</v>
      </c>
    </row>
    <row r="76" spans="2:4">
      <c r="B76" s="12" t="s">
        <v>238</v>
      </c>
      <c r="C76" s="1" t="s">
        <v>29</v>
      </c>
      <c r="D76" s="13">
        <v>47916</v>
      </c>
    </row>
    <row r="77" spans="2:4">
      <c r="B77" s="12" t="s">
        <v>239</v>
      </c>
      <c r="C77" s="1" t="s">
        <v>29</v>
      </c>
      <c r="D77" s="13">
        <v>134451</v>
      </c>
    </row>
    <row r="78" spans="2:4" ht="20.45">
      <c r="B78" s="12" t="s">
        <v>240</v>
      </c>
      <c r="C78" s="1" t="s">
        <v>23</v>
      </c>
      <c r="D78" s="13">
        <v>38261</v>
      </c>
    </row>
    <row r="79" spans="2:4" ht="81.599999999999994">
      <c r="B79" s="12" t="s">
        <v>241</v>
      </c>
      <c r="C79" s="1" t="s">
        <v>21</v>
      </c>
      <c r="D79" s="13">
        <v>231088</v>
      </c>
    </row>
    <row r="80" spans="2:4" ht="30.6">
      <c r="B80" s="12" t="s">
        <v>242</v>
      </c>
      <c r="C80" s="1" t="s">
        <v>243</v>
      </c>
      <c r="D80" s="13">
        <v>107141</v>
      </c>
    </row>
    <row r="81" spans="2:4">
      <c r="B81" s="12" t="s">
        <v>244</v>
      </c>
      <c r="C81" s="1" t="s">
        <v>166</v>
      </c>
      <c r="D81" s="13">
        <v>399152</v>
      </c>
    </row>
    <row r="82" spans="2:4">
      <c r="B82" s="12" t="s">
        <v>245</v>
      </c>
      <c r="C82" s="1" t="s">
        <v>166</v>
      </c>
      <c r="D82" s="13">
        <v>1155</v>
      </c>
    </row>
    <row r="83" spans="2:4">
      <c r="B83" s="12" t="s">
        <v>246</v>
      </c>
      <c r="C83" s="1" t="s">
        <v>166</v>
      </c>
      <c r="D83" s="13">
        <v>940</v>
      </c>
    </row>
    <row r="84" spans="2:4">
      <c r="B84" s="12" t="s">
        <v>247</v>
      </c>
      <c r="C84" s="1" t="s">
        <v>166</v>
      </c>
      <c r="D84" s="13">
        <v>1961</v>
      </c>
    </row>
    <row r="85" spans="2:4">
      <c r="B85" s="12" t="s">
        <v>248</v>
      </c>
      <c r="C85" s="1" t="s">
        <v>166</v>
      </c>
      <c r="D85" s="13">
        <v>1876</v>
      </c>
    </row>
    <row r="86" spans="2:4">
      <c r="B86" s="12" t="s">
        <v>249</v>
      </c>
      <c r="C86" s="1" t="s">
        <v>166</v>
      </c>
      <c r="D86" s="13">
        <v>33613</v>
      </c>
    </row>
    <row r="87" spans="2:4">
      <c r="B87" s="12" t="s">
        <v>250</v>
      </c>
      <c r="C87" s="1" t="s">
        <v>166</v>
      </c>
      <c r="D87" s="13">
        <v>13550</v>
      </c>
    </row>
    <row r="88" spans="2:4" ht="30.6">
      <c r="B88" s="12" t="s">
        <v>251</v>
      </c>
      <c r="C88" s="1" t="s">
        <v>21</v>
      </c>
      <c r="D88" s="13">
        <v>13130</v>
      </c>
    </row>
    <row r="89" spans="2:4" ht="20.45">
      <c r="B89" s="12" t="s">
        <v>252</v>
      </c>
      <c r="C89" s="1" t="s">
        <v>21</v>
      </c>
      <c r="D89" s="13">
        <v>6828</v>
      </c>
    </row>
    <row r="90" spans="2:4" ht="20.45">
      <c r="B90" s="12" t="s">
        <v>253</v>
      </c>
      <c r="C90" s="1" t="s">
        <v>21</v>
      </c>
      <c r="D90" s="13">
        <v>73598</v>
      </c>
    </row>
    <row r="91" spans="2:4">
      <c r="B91" s="12" t="s">
        <v>254</v>
      </c>
      <c r="C91" s="1" t="s">
        <v>21</v>
      </c>
      <c r="D91" s="13">
        <v>28851</v>
      </c>
    </row>
    <row r="92" spans="2:4">
      <c r="B92" s="12" t="s">
        <v>255</v>
      </c>
      <c r="C92" s="1" t="s">
        <v>21</v>
      </c>
      <c r="D92" s="13">
        <v>6137</v>
      </c>
    </row>
    <row r="93" spans="2:4">
      <c r="B93" s="12" t="s">
        <v>256</v>
      </c>
      <c r="C93" s="1" t="s">
        <v>21</v>
      </c>
      <c r="D93" s="13">
        <v>4048</v>
      </c>
    </row>
    <row r="94" spans="2:4">
      <c r="B94" s="12" t="s">
        <v>257</v>
      </c>
      <c r="C94" s="1" t="s">
        <v>21</v>
      </c>
      <c r="D94" s="13">
        <v>39550</v>
      </c>
    </row>
    <row r="95" spans="2:4">
      <c r="B95" s="12" t="s">
        <v>258</v>
      </c>
      <c r="C95" s="1" t="s">
        <v>21</v>
      </c>
      <c r="D95" s="13">
        <v>31515</v>
      </c>
    </row>
    <row r="96" spans="2:4">
      <c r="B96" s="12" t="s">
        <v>259</v>
      </c>
      <c r="C96" s="1" t="s">
        <v>21</v>
      </c>
      <c r="D96" s="13">
        <v>25206</v>
      </c>
    </row>
    <row r="97" spans="2:4">
      <c r="B97" s="12" t="s">
        <v>260</v>
      </c>
      <c r="C97" s="1" t="s">
        <v>21</v>
      </c>
      <c r="D97" s="13">
        <v>17008</v>
      </c>
    </row>
    <row r="98" spans="2:4">
      <c r="B98" s="12" t="s">
        <v>261</v>
      </c>
      <c r="C98" s="1" t="s">
        <v>21</v>
      </c>
      <c r="D98" s="13">
        <v>9946</v>
      </c>
    </row>
    <row r="99" spans="2:4">
      <c r="B99" s="12" t="s">
        <v>262</v>
      </c>
      <c r="C99" s="1" t="s">
        <v>21</v>
      </c>
      <c r="D99" s="13">
        <v>2905</v>
      </c>
    </row>
    <row r="100" spans="2:4">
      <c r="B100" s="12" t="s">
        <v>263</v>
      </c>
      <c r="C100" s="1" t="s">
        <v>21</v>
      </c>
      <c r="D100" s="13">
        <v>4187</v>
      </c>
    </row>
    <row r="101" spans="2:4">
      <c r="B101" s="12" t="s">
        <v>264</v>
      </c>
      <c r="C101" s="1" t="s">
        <v>21</v>
      </c>
      <c r="D101" s="13">
        <v>3176</v>
      </c>
    </row>
    <row r="102" spans="2:4">
      <c r="B102" s="12" t="s">
        <v>265</v>
      </c>
      <c r="C102" s="1" t="s">
        <v>21</v>
      </c>
      <c r="D102" s="13">
        <v>4980</v>
      </c>
    </row>
    <row r="103" spans="2:4">
      <c r="B103" s="12" t="s">
        <v>266</v>
      </c>
      <c r="C103" s="1" t="s">
        <v>21</v>
      </c>
      <c r="D103" s="13">
        <v>1471</v>
      </c>
    </row>
    <row r="104" spans="2:4">
      <c r="B104" s="12" t="s">
        <v>267</v>
      </c>
      <c r="C104" s="1" t="s">
        <v>21</v>
      </c>
      <c r="D104" s="13">
        <v>1260</v>
      </c>
    </row>
    <row r="105" spans="2:4" ht="20.45">
      <c r="B105" s="12" t="s">
        <v>268</v>
      </c>
      <c r="C105" s="1" t="s">
        <v>21</v>
      </c>
      <c r="D105" s="13">
        <v>5882</v>
      </c>
    </row>
    <row r="106" spans="2:4">
      <c r="B106" s="12" t="s">
        <v>269</v>
      </c>
      <c r="C106" s="1" t="s">
        <v>166</v>
      </c>
      <c r="D106" s="13">
        <v>126048</v>
      </c>
    </row>
    <row r="107" spans="2:4">
      <c r="B107" s="12" t="s">
        <v>270</v>
      </c>
      <c r="C107" s="1" t="s">
        <v>166</v>
      </c>
      <c r="D107" s="13">
        <v>1434</v>
      </c>
    </row>
    <row r="108" spans="2:4" ht="20.45">
      <c r="B108" s="12" t="s">
        <v>271</v>
      </c>
      <c r="C108" s="1" t="s">
        <v>21</v>
      </c>
      <c r="D108" s="13">
        <v>27100</v>
      </c>
    </row>
    <row r="109" spans="2:4" ht="20.45">
      <c r="B109" s="12" t="s">
        <v>272</v>
      </c>
      <c r="C109" s="1" t="s">
        <v>21</v>
      </c>
      <c r="D109" s="13">
        <v>34138</v>
      </c>
    </row>
    <row r="110" spans="2:4" ht="20.45">
      <c r="B110" s="12" t="s">
        <v>273</v>
      </c>
      <c r="C110" s="1" t="s">
        <v>21</v>
      </c>
      <c r="D110" s="13">
        <v>40440</v>
      </c>
    </row>
    <row r="111" spans="2:4" ht="20.45">
      <c r="B111" s="12" t="s">
        <v>274</v>
      </c>
      <c r="C111" s="1" t="s">
        <v>21</v>
      </c>
      <c r="D111" s="13">
        <v>47268</v>
      </c>
    </row>
    <row r="112" spans="2:4">
      <c r="B112" s="12" t="s">
        <v>275</v>
      </c>
      <c r="C112" s="1" t="s">
        <v>166</v>
      </c>
      <c r="D112" s="13">
        <v>1260480</v>
      </c>
    </row>
    <row r="113" spans="2:4">
      <c r="B113" s="12" t="s">
        <v>276</v>
      </c>
      <c r="C113" s="1" t="s">
        <v>166</v>
      </c>
      <c r="D113" s="13">
        <v>252096</v>
      </c>
    </row>
    <row r="114" spans="2:4">
      <c r="B114" s="12" t="s">
        <v>277</v>
      </c>
      <c r="C114" s="1" t="s">
        <v>278</v>
      </c>
      <c r="D114" s="13">
        <v>12920</v>
      </c>
    </row>
    <row r="115" spans="2:4">
      <c r="B115" s="12" t="s">
        <v>279</v>
      </c>
      <c r="C115" s="1" t="s">
        <v>166</v>
      </c>
      <c r="D115" s="13">
        <v>10150</v>
      </c>
    </row>
    <row r="116" spans="2:4">
      <c r="B116" s="12" t="s">
        <v>280</v>
      </c>
      <c r="C116" s="1" t="s">
        <v>23</v>
      </c>
      <c r="D116" s="13">
        <v>14706</v>
      </c>
    </row>
    <row r="117" spans="2:4" ht="51">
      <c r="B117" s="12" t="s">
        <v>281</v>
      </c>
      <c r="C117" s="1" t="s">
        <v>166</v>
      </c>
      <c r="D117" s="13">
        <v>4044040</v>
      </c>
    </row>
    <row r="118" spans="2:4">
      <c r="B118" s="12" t="s">
        <v>282</v>
      </c>
      <c r="C118" s="1" t="s">
        <v>23</v>
      </c>
      <c r="D118" s="13">
        <v>4727</v>
      </c>
    </row>
    <row r="119" spans="2:4">
      <c r="B119" s="12" t="s">
        <v>283</v>
      </c>
      <c r="C119" s="1" t="s">
        <v>48</v>
      </c>
      <c r="D119" s="13">
        <v>1137</v>
      </c>
    </row>
    <row r="120" spans="2:4">
      <c r="B120" s="12" t="s">
        <v>284</v>
      </c>
      <c r="C120" s="1" t="s">
        <v>48</v>
      </c>
      <c r="D120" s="13">
        <v>618</v>
      </c>
    </row>
    <row r="121" spans="2:4">
      <c r="B121" s="12" t="s">
        <v>285</v>
      </c>
      <c r="C121" s="1" t="s">
        <v>166</v>
      </c>
      <c r="D121" s="13">
        <v>52144</v>
      </c>
    </row>
    <row r="122" spans="2:4">
      <c r="B122" s="12" t="s">
        <v>286</v>
      </c>
      <c r="C122" s="1" t="s">
        <v>23</v>
      </c>
      <c r="D122" s="13">
        <v>27836</v>
      </c>
    </row>
    <row r="123" spans="2:4">
      <c r="B123" s="12" t="s">
        <v>287</v>
      </c>
      <c r="C123" s="1" t="s">
        <v>23</v>
      </c>
      <c r="D123" s="13">
        <v>31848</v>
      </c>
    </row>
    <row r="124" spans="2:4" ht="20.45">
      <c r="B124" s="12" t="s">
        <v>288</v>
      </c>
      <c r="C124" s="1" t="s">
        <v>166</v>
      </c>
      <c r="D124" s="13">
        <v>26319</v>
      </c>
    </row>
    <row r="125" spans="2:4" ht="20.45">
      <c r="B125" s="12" t="s">
        <v>289</v>
      </c>
      <c r="C125" s="1" t="s">
        <v>166</v>
      </c>
      <c r="D125" s="13">
        <v>34604</v>
      </c>
    </row>
    <row r="126" spans="2:4" ht="20.45">
      <c r="B126" s="12" t="s">
        <v>290</v>
      </c>
      <c r="C126" s="1" t="s">
        <v>166</v>
      </c>
      <c r="D126" s="13">
        <v>36554</v>
      </c>
    </row>
    <row r="127" spans="2:4" ht="71.45">
      <c r="B127" s="12" t="s">
        <v>291</v>
      </c>
      <c r="C127" s="1" t="s">
        <v>166</v>
      </c>
      <c r="D127" s="13">
        <v>70904</v>
      </c>
    </row>
    <row r="128" spans="2:4">
      <c r="B128" s="12" t="s">
        <v>292</v>
      </c>
      <c r="C128" s="1" t="s">
        <v>293</v>
      </c>
      <c r="D128" s="13">
        <v>2100800</v>
      </c>
    </row>
    <row r="129" spans="2:4">
      <c r="B129" s="12" t="s">
        <v>294</v>
      </c>
      <c r="C129" s="1" t="s">
        <v>293</v>
      </c>
      <c r="D129" s="13">
        <v>1428544</v>
      </c>
    </row>
    <row r="130" spans="2:4">
      <c r="B130" s="12" t="s">
        <v>295</v>
      </c>
      <c r="C130" s="1" t="s">
        <v>23</v>
      </c>
      <c r="D130" s="13">
        <v>3676</v>
      </c>
    </row>
    <row r="131" spans="2:4">
      <c r="B131" s="12" t="s">
        <v>296</v>
      </c>
      <c r="C131" s="1" t="s">
        <v>166</v>
      </c>
      <c r="D131" s="13">
        <v>63535</v>
      </c>
    </row>
    <row r="132" spans="2:4" ht="20.45">
      <c r="B132" s="12" t="s">
        <v>297</v>
      </c>
      <c r="C132" s="1" t="s">
        <v>166</v>
      </c>
      <c r="D132" s="13">
        <v>1124033</v>
      </c>
    </row>
    <row r="133" spans="2:4" ht="20.45">
      <c r="B133" s="12" t="s">
        <v>298</v>
      </c>
      <c r="C133" s="1" t="s">
        <v>166</v>
      </c>
      <c r="D133" s="13">
        <v>590833</v>
      </c>
    </row>
    <row r="134" spans="2:4">
      <c r="B134" s="12" t="s">
        <v>299</v>
      </c>
      <c r="C134" s="1" t="s">
        <v>166</v>
      </c>
      <c r="D134" s="13">
        <v>74284</v>
      </c>
    </row>
    <row r="135" spans="2:4">
      <c r="B135" s="12" t="s">
        <v>157</v>
      </c>
      <c r="C135" s="1" t="s">
        <v>21</v>
      </c>
      <c r="D135" s="13">
        <v>13445</v>
      </c>
    </row>
    <row r="136" spans="2:4">
      <c r="B136" s="12" t="s">
        <v>300</v>
      </c>
      <c r="C136" s="1" t="s">
        <v>166</v>
      </c>
      <c r="D136" s="13">
        <v>974</v>
      </c>
    </row>
    <row r="137" spans="2:4">
      <c r="B137" s="12" t="s">
        <v>301</v>
      </c>
      <c r="C137" s="1" t="s">
        <v>48</v>
      </c>
      <c r="D137" s="13">
        <v>9874</v>
      </c>
    </row>
    <row r="138" spans="2:4">
      <c r="B138" s="12" t="s">
        <v>302</v>
      </c>
      <c r="C138" s="1" t="s">
        <v>29</v>
      </c>
      <c r="D138" s="13">
        <v>431381</v>
      </c>
    </row>
    <row r="139" spans="2:4" ht="20.45">
      <c r="B139" s="12" t="s">
        <v>303</v>
      </c>
      <c r="C139" s="1" t="s">
        <v>29</v>
      </c>
      <c r="D139" s="13">
        <v>444064</v>
      </c>
    </row>
    <row r="140" spans="2:4">
      <c r="B140" s="12" t="s">
        <v>304</v>
      </c>
      <c r="C140" s="1" t="s">
        <v>29</v>
      </c>
      <c r="D140" s="13">
        <v>325884</v>
      </c>
    </row>
    <row r="141" spans="2:4">
      <c r="B141" s="12" t="s">
        <v>305</v>
      </c>
      <c r="C141" s="1" t="s">
        <v>29</v>
      </c>
      <c r="D141" s="13">
        <v>349993</v>
      </c>
    </row>
    <row r="142" spans="2:4">
      <c r="B142" s="12" t="s">
        <v>306</v>
      </c>
      <c r="C142" s="1" t="s">
        <v>29</v>
      </c>
      <c r="D142" s="13">
        <v>451774</v>
      </c>
    </row>
    <row r="143" spans="2:4" ht="20.45">
      <c r="B143" s="12" t="s">
        <v>307</v>
      </c>
      <c r="C143" s="1" t="s">
        <v>166</v>
      </c>
      <c r="D143" s="13">
        <v>3992</v>
      </c>
    </row>
    <row r="144" spans="2:4" ht="20.45">
      <c r="B144" s="12" t="s">
        <v>308</v>
      </c>
      <c r="C144" s="1" t="s">
        <v>23</v>
      </c>
      <c r="D144" s="13">
        <v>157560</v>
      </c>
    </row>
    <row r="145" spans="2:4">
      <c r="B145" s="12" t="s">
        <v>309</v>
      </c>
      <c r="C145" s="1" t="s">
        <v>293</v>
      </c>
      <c r="D145" s="13">
        <v>655450</v>
      </c>
    </row>
    <row r="146" spans="2:4">
      <c r="B146" s="12" t="s">
        <v>310</v>
      </c>
      <c r="C146" s="1" t="s">
        <v>21</v>
      </c>
      <c r="D146" s="13">
        <v>2958</v>
      </c>
    </row>
    <row r="147" spans="2:4" ht="20.45">
      <c r="B147" s="12" t="s">
        <v>311</v>
      </c>
      <c r="C147" s="1" t="s">
        <v>166</v>
      </c>
      <c r="D147" s="13">
        <v>72373</v>
      </c>
    </row>
    <row r="148" spans="2:4" ht="20.45">
      <c r="B148" s="12" t="s">
        <v>312</v>
      </c>
      <c r="C148" s="1" t="s">
        <v>166</v>
      </c>
      <c r="D148" s="13">
        <v>56196</v>
      </c>
    </row>
    <row r="149" spans="2:4" ht="20.45">
      <c r="B149" s="12" t="s">
        <v>313</v>
      </c>
      <c r="C149" s="1" t="s">
        <v>23</v>
      </c>
      <c r="D149" s="13">
        <v>378144</v>
      </c>
    </row>
    <row r="150" spans="2:4" ht="71.45">
      <c r="B150" s="12" t="s">
        <v>314</v>
      </c>
      <c r="C150" s="1" t="s">
        <v>23</v>
      </c>
      <c r="D150" s="13">
        <v>420160</v>
      </c>
    </row>
    <row r="151" spans="2:4">
      <c r="B151" s="12" t="s">
        <v>315</v>
      </c>
      <c r="C151" s="1" t="s">
        <v>166</v>
      </c>
      <c r="D151" s="13">
        <v>74894</v>
      </c>
    </row>
    <row r="152" spans="2:4">
      <c r="B152" s="12" t="s">
        <v>316</v>
      </c>
      <c r="C152" s="1" t="s">
        <v>21</v>
      </c>
      <c r="D152" s="13">
        <v>9645</v>
      </c>
    </row>
    <row r="153" spans="2:4">
      <c r="B153" s="12" t="s">
        <v>317</v>
      </c>
      <c r="C153" s="1" t="s">
        <v>21</v>
      </c>
      <c r="D153" s="13">
        <v>26846</v>
      </c>
    </row>
    <row r="154" spans="2:4">
      <c r="B154" s="12" t="s">
        <v>111</v>
      </c>
      <c r="C154" s="1" t="s">
        <v>21</v>
      </c>
      <c r="D154" s="13">
        <v>1208</v>
      </c>
    </row>
    <row r="155" spans="2:4">
      <c r="B155" s="12" t="s">
        <v>318</v>
      </c>
      <c r="C155" s="1" t="s">
        <v>166</v>
      </c>
      <c r="D155" s="13">
        <v>4370</v>
      </c>
    </row>
    <row r="156" spans="2:4" ht="20.45">
      <c r="B156" s="12" t="s">
        <v>319</v>
      </c>
      <c r="C156" s="1" t="s">
        <v>166</v>
      </c>
      <c r="D156" s="13">
        <v>7354880</v>
      </c>
    </row>
    <row r="157" spans="2:4">
      <c r="B157" s="12" t="s">
        <v>320</v>
      </c>
      <c r="C157" s="1" t="s">
        <v>166</v>
      </c>
      <c r="D157" s="13">
        <v>1300000</v>
      </c>
    </row>
    <row r="158" spans="2:4">
      <c r="B158" s="12" t="s">
        <v>321</v>
      </c>
      <c r="C158" s="1" t="s">
        <v>23</v>
      </c>
      <c r="D158" s="13">
        <v>66073</v>
      </c>
    </row>
    <row r="159" spans="2:4">
      <c r="B159" s="12" t="s">
        <v>322</v>
      </c>
      <c r="C159" s="1" t="s">
        <v>323</v>
      </c>
      <c r="D159" s="13">
        <v>115019</v>
      </c>
    </row>
    <row r="160" spans="2:4" ht="20.45">
      <c r="B160" s="12" t="s">
        <v>113</v>
      </c>
      <c r="C160" s="1" t="s">
        <v>21</v>
      </c>
      <c r="D160" s="13">
        <v>1944</v>
      </c>
    </row>
    <row r="161" spans="2:4" ht="40.9">
      <c r="B161" s="12" t="s">
        <v>324</v>
      </c>
      <c r="C161" s="1" t="s">
        <v>23</v>
      </c>
      <c r="D161" s="13">
        <v>68276</v>
      </c>
    </row>
    <row r="162" spans="2:4" ht="30.6">
      <c r="B162" s="12" t="s">
        <v>325</v>
      </c>
      <c r="C162" s="1" t="s">
        <v>48</v>
      </c>
      <c r="D162" s="13">
        <v>8613</v>
      </c>
    </row>
    <row r="163" spans="2:4">
      <c r="B163" s="12" t="s">
        <v>326</v>
      </c>
      <c r="C163" s="1" t="s">
        <v>166</v>
      </c>
      <c r="D163" s="13">
        <v>1045148</v>
      </c>
    </row>
    <row r="164" spans="2:4">
      <c r="B164" s="12" t="s">
        <v>327</v>
      </c>
      <c r="C164" s="1" t="s">
        <v>166</v>
      </c>
      <c r="D164" s="13">
        <v>70671</v>
      </c>
    </row>
    <row r="165" spans="2:4">
      <c r="B165" s="12" t="s">
        <v>328</v>
      </c>
      <c r="C165" s="1" t="s">
        <v>166</v>
      </c>
      <c r="D165" s="13">
        <v>12605</v>
      </c>
    </row>
    <row r="166" spans="2:4" ht="20.45">
      <c r="B166" s="12" t="s">
        <v>329</v>
      </c>
      <c r="C166" s="1" t="s">
        <v>21</v>
      </c>
      <c r="D166" s="13">
        <v>27310</v>
      </c>
    </row>
    <row r="167" spans="2:4">
      <c r="B167" s="12" t="s">
        <v>330</v>
      </c>
      <c r="C167" s="1" t="s">
        <v>166</v>
      </c>
      <c r="D167" s="13">
        <v>35083</v>
      </c>
    </row>
    <row r="168" spans="2:4">
      <c r="B168" s="12" t="s">
        <v>331</v>
      </c>
      <c r="C168" s="1" t="s">
        <v>166</v>
      </c>
      <c r="D168" s="13">
        <v>6932640</v>
      </c>
    </row>
    <row r="169" spans="2:4" ht="20.45">
      <c r="B169" s="12" t="s">
        <v>332</v>
      </c>
      <c r="C169" s="1" t="s">
        <v>166</v>
      </c>
      <c r="D169" s="13">
        <v>1260480</v>
      </c>
    </row>
    <row r="170" spans="2:4">
      <c r="B170" s="12" t="s">
        <v>333</v>
      </c>
      <c r="C170" s="1" t="s">
        <v>166</v>
      </c>
      <c r="D170" s="13">
        <v>1260480</v>
      </c>
    </row>
    <row r="171" spans="2:4">
      <c r="B171" s="12" t="s">
        <v>334</v>
      </c>
      <c r="C171" s="1" t="s">
        <v>166</v>
      </c>
      <c r="D171" s="13">
        <v>23109</v>
      </c>
    </row>
    <row r="172" spans="2:4" ht="20.45">
      <c r="B172" s="12" t="s">
        <v>335</v>
      </c>
      <c r="C172" s="1" t="s">
        <v>166</v>
      </c>
      <c r="D172" s="13">
        <v>620</v>
      </c>
    </row>
    <row r="173" spans="2:4">
      <c r="B173" s="12" t="s">
        <v>336</v>
      </c>
      <c r="C173" s="1" t="s">
        <v>166</v>
      </c>
      <c r="D173" s="13">
        <v>11239</v>
      </c>
    </row>
    <row r="174" spans="2:4" ht="20.45">
      <c r="B174" s="12" t="s">
        <v>337</v>
      </c>
      <c r="C174" s="1" t="s">
        <v>166</v>
      </c>
      <c r="D174" s="13">
        <v>44117</v>
      </c>
    </row>
    <row r="175" spans="2:4">
      <c r="B175" s="12" t="s">
        <v>338</v>
      </c>
      <c r="C175" s="1" t="s">
        <v>48</v>
      </c>
      <c r="D175" s="13">
        <v>2838</v>
      </c>
    </row>
    <row r="176" spans="2:4" ht="13.15" customHeight="1">
      <c r="B176" s="12" t="s">
        <v>339</v>
      </c>
      <c r="C176" s="1" t="s">
        <v>278</v>
      </c>
      <c r="D176" s="13">
        <v>13603</v>
      </c>
    </row>
    <row r="177" spans="2:4">
      <c r="B177" s="12" t="s">
        <v>96</v>
      </c>
      <c r="C177" s="1" t="s">
        <v>93</v>
      </c>
      <c r="D177" s="13">
        <v>3392</v>
      </c>
    </row>
    <row r="178" spans="2:4">
      <c r="B178" s="12" t="s">
        <v>340</v>
      </c>
      <c r="C178" s="1" t="s">
        <v>29</v>
      </c>
      <c r="D178" s="13">
        <v>105040</v>
      </c>
    </row>
    <row r="179" spans="2:4">
      <c r="B179" s="12" t="s">
        <v>341</v>
      </c>
      <c r="C179" s="1" t="s">
        <v>278</v>
      </c>
      <c r="D179" s="13">
        <v>16806</v>
      </c>
    </row>
    <row r="180" spans="2:4" ht="20.45">
      <c r="B180" s="12" t="s">
        <v>342</v>
      </c>
      <c r="C180" s="1" t="s">
        <v>166</v>
      </c>
      <c r="D180" s="13">
        <v>68276</v>
      </c>
    </row>
    <row r="181" spans="2:4" ht="20.45">
      <c r="B181" s="12" t="s">
        <v>343</v>
      </c>
      <c r="C181" s="1" t="s">
        <v>166</v>
      </c>
      <c r="D181" s="13">
        <v>81406</v>
      </c>
    </row>
    <row r="182" spans="2:4" ht="20.45">
      <c r="B182" s="12" t="s">
        <v>344</v>
      </c>
      <c r="C182" s="1" t="s">
        <v>166</v>
      </c>
      <c r="D182" s="13">
        <v>40861</v>
      </c>
    </row>
    <row r="183" spans="2:4">
      <c r="B183" s="12" t="s">
        <v>345</v>
      </c>
      <c r="C183" s="1" t="s">
        <v>29</v>
      </c>
      <c r="D183" s="13">
        <v>426866</v>
      </c>
    </row>
    <row r="184" spans="2:4">
      <c r="B184" s="12" t="s">
        <v>346</v>
      </c>
      <c r="C184" s="1" t="s">
        <v>323</v>
      </c>
      <c r="D184" s="13">
        <v>47268</v>
      </c>
    </row>
    <row r="185" spans="2:4">
      <c r="B185" s="12" t="s">
        <v>347</v>
      </c>
      <c r="C185" s="1" t="s">
        <v>323</v>
      </c>
      <c r="D185" s="13">
        <v>71427</v>
      </c>
    </row>
    <row r="186" spans="2:4" ht="20.45">
      <c r="B186" s="12" t="s">
        <v>348</v>
      </c>
      <c r="C186" s="1" t="s">
        <v>29</v>
      </c>
      <c r="D186" s="13">
        <v>26260</v>
      </c>
    </row>
    <row r="187" spans="2:4">
      <c r="B187" s="12" t="s">
        <v>349</v>
      </c>
      <c r="C187" s="1" t="s">
        <v>29</v>
      </c>
      <c r="D187" s="13">
        <v>36764</v>
      </c>
    </row>
    <row r="188" spans="2:4">
      <c r="B188" s="12" t="s">
        <v>350</v>
      </c>
      <c r="C188" s="1" t="s">
        <v>166</v>
      </c>
      <c r="D188" s="13">
        <v>8042</v>
      </c>
    </row>
    <row r="189" spans="2:4" ht="20.45">
      <c r="B189" s="12" t="s">
        <v>351</v>
      </c>
      <c r="C189" s="1" t="s">
        <v>166</v>
      </c>
      <c r="D189" s="13">
        <v>7563</v>
      </c>
    </row>
    <row r="190" spans="2:4" ht="20.45">
      <c r="B190" s="12" t="s">
        <v>352</v>
      </c>
      <c r="C190" s="1" t="s">
        <v>166</v>
      </c>
      <c r="D190" s="13">
        <v>44117</v>
      </c>
    </row>
    <row r="191" spans="2:4" ht="20.45">
      <c r="B191" s="12" t="s">
        <v>353</v>
      </c>
      <c r="C191" s="1" t="s">
        <v>166</v>
      </c>
      <c r="D191" s="13">
        <v>367640</v>
      </c>
    </row>
    <row r="192" spans="2:4" ht="20.45">
      <c r="B192" s="12" t="s">
        <v>354</v>
      </c>
      <c r="C192" s="1" t="s">
        <v>166</v>
      </c>
      <c r="D192" s="13">
        <v>262600</v>
      </c>
    </row>
    <row r="193" spans="2:4" ht="20.45">
      <c r="B193" s="12" t="s">
        <v>355</v>
      </c>
      <c r="C193" s="1" t="s">
        <v>166</v>
      </c>
      <c r="D193" s="13">
        <v>241592</v>
      </c>
    </row>
    <row r="194" spans="2:4" ht="20.45">
      <c r="B194" s="12" t="s">
        <v>356</v>
      </c>
      <c r="C194" s="1" t="s">
        <v>166</v>
      </c>
      <c r="D194" s="13">
        <v>504192</v>
      </c>
    </row>
    <row r="195" spans="2:4" ht="20.45">
      <c r="B195" s="12" t="s">
        <v>357</v>
      </c>
      <c r="C195" s="1" t="s">
        <v>166</v>
      </c>
      <c r="D195" s="13">
        <v>257348</v>
      </c>
    </row>
    <row r="196" spans="2:4" ht="20.45">
      <c r="B196" s="12" t="s">
        <v>358</v>
      </c>
      <c r="C196" s="1" t="s">
        <v>166</v>
      </c>
      <c r="D196" s="13">
        <v>283608</v>
      </c>
    </row>
    <row r="197" spans="2:4">
      <c r="B197" s="12" t="s">
        <v>359</v>
      </c>
      <c r="C197" s="1" t="s">
        <v>23</v>
      </c>
      <c r="D197" s="13">
        <v>105040</v>
      </c>
    </row>
    <row r="198" spans="2:4" ht="30.6">
      <c r="B198" s="12" t="s">
        <v>360</v>
      </c>
      <c r="C198" s="1" t="s">
        <v>243</v>
      </c>
      <c r="D198" s="13">
        <v>210080</v>
      </c>
    </row>
    <row r="199" spans="2:4">
      <c r="B199" s="12" t="s">
        <v>361</v>
      </c>
      <c r="C199" s="1" t="s">
        <v>243</v>
      </c>
      <c r="D199" s="13">
        <v>92435</v>
      </c>
    </row>
    <row r="200" spans="2:4">
      <c r="B200" s="12" t="s">
        <v>362</v>
      </c>
      <c r="C200" s="1" t="s">
        <v>166</v>
      </c>
      <c r="D200" s="13">
        <v>8928400</v>
      </c>
    </row>
    <row r="201" spans="2:4" ht="20.45">
      <c r="B201" s="12" t="s">
        <v>363</v>
      </c>
      <c r="C201" s="1" t="s">
        <v>21</v>
      </c>
      <c r="D201" s="13">
        <v>67226</v>
      </c>
    </row>
    <row r="202" spans="2:4">
      <c r="B202" s="12" t="s">
        <v>364</v>
      </c>
      <c r="C202" s="1" t="s">
        <v>166</v>
      </c>
      <c r="D202" s="13">
        <v>18886</v>
      </c>
    </row>
    <row r="203" spans="2:4" ht="20.45">
      <c r="B203" s="12" t="s">
        <v>365</v>
      </c>
      <c r="C203" s="1" t="s">
        <v>166</v>
      </c>
      <c r="D203" s="13">
        <v>1260</v>
      </c>
    </row>
    <row r="204" spans="2:4">
      <c r="B204" s="12" t="s">
        <v>366</v>
      </c>
      <c r="C204" s="1" t="s">
        <v>166</v>
      </c>
      <c r="D204" s="13">
        <v>616</v>
      </c>
    </row>
    <row r="205" spans="2:4">
      <c r="B205" s="12" t="s">
        <v>367</v>
      </c>
      <c r="C205" s="1" t="s">
        <v>166</v>
      </c>
      <c r="D205" s="13">
        <v>525</v>
      </c>
    </row>
    <row r="206" spans="2:4">
      <c r="B206" s="12" t="s">
        <v>368</v>
      </c>
      <c r="C206" s="1" t="s">
        <v>23</v>
      </c>
      <c r="D206" s="13">
        <v>15756</v>
      </c>
    </row>
    <row r="207" spans="2:4" ht="30.6">
      <c r="B207" s="12" t="s">
        <v>369</v>
      </c>
      <c r="C207" s="1" t="s">
        <v>166</v>
      </c>
      <c r="D207" s="13">
        <v>82561</v>
      </c>
    </row>
    <row r="208" spans="2:4" ht="20.45">
      <c r="B208" s="12" t="s">
        <v>370</v>
      </c>
      <c r="C208" s="1" t="s">
        <v>166</v>
      </c>
      <c r="D208" s="13">
        <v>99683</v>
      </c>
    </row>
    <row r="209" spans="2:4" ht="40.9">
      <c r="B209" s="12" t="s">
        <v>371</v>
      </c>
      <c r="C209" s="1" t="s">
        <v>166</v>
      </c>
      <c r="D209" s="13">
        <v>89179</v>
      </c>
    </row>
    <row r="210" spans="2:4">
      <c r="B210" s="12" t="s">
        <v>372</v>
      </c>
      <c r="C210" s="1" t="s">
        <v>166</v>
      </c>
      <c r="D210" s="13">
        <v>33161</v>
      </c>
    </row>
    <row r="211" spans="2:4" ht="20.45">
      <c r="B211" s="12" t="s">
        <v>373</v>
      </c>
      <c r="C211" s="1" t="s">
        <v>166</v>
      </c>
      <c r="D211" s="13">
        <v>16362</v>
      </c>
    </row>
    <row r="212" spans="2:4">
      <c r="B212" s="12" t="s">
        <v>374</v>
      </c>
      <c r="C212" s="1" t="s">
        <v>166</v>
      </c>
      <c r="D212" s="13">
        <v>27205</v>
      </c>
    </row>
    <row r="213" spans="2:4">
      <c r="B213" s="12" t="s">
        <v>375</v>
      </c>
      <c r="C213" s="1" t="s">
        <v>21</v>
      </c>
      <c r="D213" s="13">
        <v>4142</v>
      </c>
    </row>
    <row r="214" spans="2:4">
      <c r="B214" s="12" t="s">
        <v>376</v>
      </c>
      <c r="C214" s="1" t="s">
        <v>48</v>
      </c>
      <c r="D214" s="13">
        <v>3512</v>
      </c>
    </row>
    <row r="215" spans="2:4">
      <c r="B215" s="12" t="s">
        <v>377</v>
      </c>
      <c r="C215" s="1" t="s">
        <v>166</v>
      </c>
      <c r="D215" s="13">
        <v>54621</v>
      </c>
    </row>
    <row r="216" spans="2:4">
      <c r="B216" s="12" t="s">
        <v>378</v>
      </c>
      <c r="C216" s="1" t="s">
        <v>166</v>
      </c>
      <c r="D216" s="13">
        <v>32772</v>
      </c>
    </row>
    <row r="217" spans="2:4">
      <c r="B217" s="12" t="s">
        <v>379</v>
      </c>
      <c r="C217" s="1" t="s">
        <v>166</v>
      </c>
      <c r="D217" s="13">
        <v>36764</v>
      </c>
    </row>
    <row r="218" spans="2:4" ht="30.6">
      <c r="B218" s="12" t="s">
        <v>380</v>
      </c>
      <c r="C218" s="1" t="s">
        <v>23</v>
      </c>
      <c r="D218" s="13">
        <v>18734</v>
      </c>
    </row>
    <row r="219" spans="2:4" ht="20.45">
      <c r="B219" s="12" t="s">
        <v>381</v>
      </c>
      <c r="C219" s="1" t="s">
        <v>166</v>
      </c>
      <c r="D219" s="13">
        <v>1050400</v>
      </c>
    </row>
    <row r="220" spans="2:4" ht="20.45">
      <c r="B220" s="12" t="s">
        <v>382</v>
      </c>
      <c r="C220" s="1" t="s">
        <v>21</v>
      </c>
      <c r="D220" s="13">
        <v>36764</v>
      </c>
    </row>
    <row r="221" spans="2:4" ht="20.45">
      <c r="B221" s="12" t="s">
        <v>383</v>
      </c>
      <c r="C221" s="1" t="s">
        <v>166</v>
      </c>
      <c r="D221" s="13">
        <v>92435</v>
      </c>
    </row>
    <row r="222" spans="2:4" ht="20.45">
      <c r="B222" s="12" t="s">
        <v>384</v>
      </c>
      <c r="C222" s="1" t="s">
        <v>166</v>
      </c>
      <c r="D222" s="13">
        <v>47268</v>
      </c>
    </row>
    <row r="223" spans="2:4" ht="20.45">
      <c r="B223" s="12" t="s">
        <v>385</v>
      </c>
      <c r="C223" s="1" t="s">
        <v>166</v>
      </c>
      <c r="D223" s="13">
        <v>52520</v>
      </c>
    </row>
    <row r="224" spans="2:4">
      <c r="B224" s="12" t="s">
        <v>386</v>
      </c>
      <c r="C224" s="1" t="s">
        <v>166</v>
      </c>
      <c r="D224" s="13">
        <v>63024</v>
      </c>
    </row>
    <row r="225" spans="2:4">
      <c r="B225" s="12" t="s">
        <v>387</v>
      </c>
      <c r="C225" s="1" t="s">
        <v>166</v>
      </c>
      <c r="D225" s="13">
        <v>89284</v>
      </c>
    </row>
    <row r="226" spans="2:4">
      <c r="B226" s="12" t="s">
        <v>388</v>
      </c>
      <c r="C226" s="1" t="s">
        <v>278</v>
      </c>
      <c r="D226" s="13">
        <v>11975</v>
      </c>
    </row>
    <row r="227" spans="2:4">
      <c r="B227" s="12" t="s">
        <v>389</v>
      </c>
      <c r="C227" s="1" t="s">
        <v>6</v>
      </c>
      <c r="D227" s="13">
        <v>766</v>
      </c>
    </row>
    <row r="228" spans="2:4" ht="20.45">
      <c r="B228" s="12" t="s">
        <v>390</v>
      </c>
      <c r="C228" s="1" t="s">
        <v>6</v>
      </c>
      <c r="D228" s="13">
        <v>131090</v>
      </c>
    </row>
    <row r="229" spans="2:4" ht="30.6">
      <c r="B229" s="12" t="s">
        <v>391</v>
      </c>
      <c r="C229" s="1" t="s">
        <v>166</v>
      </c>
      <c r="D229" s="13">
        <v>225889</v>
      </c>
    </row>
    <row r="230" spans="2:4">
      <c r="B230" s="12" t="s">
        <v>392</v>
      </c>
      <c r="C230" s="1" t="s">
        <v>29</v>
      </c>
      <c r="D230" s="21">
        <v>364881</v>
      </c>
    </row>
    <row r="231" spans="2:4">
      <c r="B231" s="20" t="s">
        <v>393</v>
      </c>
      <c r="C231" s="1" t="s">
        <v>29</v>
      </c>
      <c r="D231" s="21">
        <v>311100</v>
      </c>
    </row>
    <row r="232" spans="2:4" ht="20.45">
      <c r="B232" s="12" t="s">
        <v>394</v>
      </c>
      <c r="C232" s="1" t="s">
        <v>166</v>
      </c>
      <c r="D232" s="13">
        <v>315120</v>
      </c>
    </row>
    <row r="233" spans="2:4" ht="20.45">
      <c r="B233" s="12" t="s">
        <v>395</v>
      </c>
      <c r="C233" s="1" t="s">
        <v>166</v>
      </c>
      <c r="D233" s="13">
        <v>1155440</v>
      </c>
    </row>
    <row r="234" spans="2:4" ht="40.9">
      <c r="B234" s="12" t="s">
        <v>396</v>
      </c>
      <c r="C234" s="1" t="s">
        <v>166</v>
      </c>
      <c r="D234" s="13">
        <v>190332</v>
      </c>
    </row>
    <row r="235" spans="2:4" ht="30.6">
      <c r="B235" s="12" t="s">
        <v>397</v>
      </c>
      <c r="C235" s="1" t="s">
        <v>166</v>
      </c>
      <c r="D235" s="13">
        <v>111237</v>
      </c>
    </row>
    <row r="236" spans="2:4">
      <c r="B236" s="12" t="s">
        <v>398</v>
      </c>
      <c r="C236" s="1" t="s">
        <v>166</v>
      </c>
      <c r="D236" s="13">
        <v>136552</v>
      </c>
    </row>
    <row r="237" spans="2:4" ht="51">
      <c r="B237" s="12" t="s">
        <v>399</v>
      </c>
      <c r="C237" s="1" t="s">
        <v>21</v>
      </c>
      <c r="D237" s="13">
        <v>138653</v>
      </c>
    </row>
    <row r="238" spans="2:4">
      <c r="B238" s="12" t="s">
        <v>400</v>
      </c>
      <c r="C238" s="1" t="s">
        <v>166</v>
      </c>
      <c r="D238" s="13">
        <v>75629</v>
      </c>
    </row>
    <row r="239" spans="2:4" ht="20.45">
      <c r="B239" s="12" t="s">
        <v>401</v>
      </c>
      <c r="C239" s="1" t="s">
        <v>166</v>
      </c>
      <c r="D239" s="13">
        <v>50419</v>
      </c>
    </row>
    <row r="240" spans="2:4" ht="51">
      <c r="B240" s="12" t="s">
        <v>402</v>
      </c>
      <c r="C240" s="1" t="s">
        <v>166</v>
      </c>
      <c r="D240" s="13">
        <v>1313000</v>
      </c>
    </row>
    <row r="241" spans="2:4">
      <c r="B241" s="12" t="s">
        <v>403</v>
      </c>
      <c r="C241" s="1" t="s">
        <v>48</v>
      </c>
      <c r="D241" s="13">
        <v>1552</v>
      </c>
    </row>
    <row r="242" spans="2:4">
      <c r="B242" s="12" t="s">
        <v>404</v>
      </c>
      <c r="C242" s="1" t="s">
        <v>29</v>
      </c>
      <c r="D242" s="13">
        <v>44117</v>
      </c>
    </row>
    <row r="243" spans="2:4">
      <c r="B243" s="12" t="s">
        <v>405</v>
      </c>
      <c r="C243" s="1" t="s">
        <v>323</v>
      </c>
      <c r="D243" s="13">
        <v>83893</v>
      </c>
    </row>
    <row r="244" spans="2:4">
      <c r="B244" s="12" t="s">
        <v>406</v>
      </c>
      <c r="C244" s="1" t="s">
        <v>323</v>
      </c>
      <c r="D244" s="13">
        <v>118905</v>
      </c>
    </row>
    <row r="245" spans="2:4">
      <c r="B245" s="12" t="s">
        <v>407</v>
      </c>
      <c r="C245" s="1" t="s">
        <v>323</v>
      </c>
      <c r="D245" s="13">
        <v>176467</v>
      </c>
    </row>
    <row r="246" spans="2:4">
      <c r="B246" s="12" t="s">
        <v>149</v>
      </c>
      <c r="C246" s="1" t="s">
        <v>21</v>
      </c>
      <c r="D246" s="13">
        <v>4638</v>
      </c>
    </row>
    <row r="247" spans="2:4">
      <c r="B247" s="12" t="s">
        <v>408</v>
      </c>
      <c r="C247" s="1" t="s">
        <v>166</v>
      </c>
      <c r="D247" s="13">
        <v>189072</v>
      </c>
    </row>
    <row r="248" spans="2:4">
      <c r="B248" s="12" t="s">
        <v>409</v>
      </c>
      <c r="C248" s="1" t="s">
        <v>48</v>
      </c>
      <c r="D248" s="13">
        <v>9699</v>
      </c>
    </row>
    <row r="249" spans="2:4" ht="20.45">
      <c r="B249" s="12" t="s">
        <v>410</v>
      </c>
      <c r="C249" s="1" t="s">
        <v>23</v>
      </c>
      <c r="D249" s="13">
        <v>4780</v>
      </c>
    </row>
    <row r="250" spans="2:4">
      <c r="B250" s="12" t="s">
        <v>95</v>
      </c>
      <c r="C250" s="1" t="s">
        <v>23</v>
      </c>
      <c r="D250" s="13">
        <v>1786</v>
      </c>
    </row>
    <row r="251" spans="2:4">
      <c r="B251" s="12" t="s">
        <v>411</v>
      </c>
      <c r="C251" s="1" t="s">
        <v>166</v>
      </c>
      <c r="D251" s="13">
        <v>1672</v>
      </c>
    </row>
    <row r="252" spans="2:4">
      <c r="B252" s="12" t="s">
        <v>412</v>
      </c>
      <c r="C252" s="1" t="s">
        <v>21</v>
      </c>
      <c r="D252" s="13">
        <v>36554</v>
      </c>
    </row>
    <row r="253" spans="2:4">
      <c r="B253" s="12" t="s">
        <v>413</v>
      </c>
      <c r="C253" s="1" t="s">
        <v>166</v>
      </c>
      <c r="D253" s="13">
        <v>262600</v>
      </c>
    </row>
    <row r="254" spans="2:4" ht="40.9">
      <c r="B254" s="12" t="s">
        <v>414</v>
      </c>
      <c r="C254" s="1" t="s">
        <v>23</v>
      </c>
      <c r="D254" s="13">
        <v>210080</v>
      </c>
    </row>
    <row r="255" spans="2:4" ht="40.9">
      <c r="B255" s="12" t="s">
        <v>415</v>
      </c>
      <c r="C255" s="1" t="s">
        <v>23</v>
      </c>
      <c r="D255" s="13">
        <v>210080</v>
      </c>
    </row>
    <row r="256" spans="2:4" ht="40.9">
      <c r="B256" s="12" t="s">
        <v>416</v>
      </c>
      <c r="C256" s="1" t="s">
        <v>23</v>
      </c>
      <c r="D256" s="13">
        <v>210080</v>
      </c>
    </row>
    <row r="257" spans="2:4">
      <c r="B257" s="12" t="s">
        <v>92</v>
      </c>
      <c r="C257" s="1" t="s">
        <v>93</v>
      </c>
      <c r="D257" s="13">
        <v>3781</v>
      </c>
    </row>
    <row r="258" spans="2:4">
      <c r="B258" s="12" t="s">
        <v>417</v>
      </c>
      <c r="C258" s="1" t="s">
        <v>29</v>
      </c>
      <c r="D258" s="13">
        <v>33613</v>
      </c>
    </row>
    <row r="259" spans="2:4">
      <c r="B259" s="12" t="s">
        <v>418</v>
      </c>
      <c r="C259" s="1" t="s">
        <v>29</v>
      </c>
      <c r="D259" s="13">
        <v>48495</v>
      </c>
    </row>
    <row r="260" spans="2:4">
      <c r="B260" s="12" t="s">
        <v>419</v>
      </c>
      <c r="C260" s="1" t="s">
        <v>23</v>
      </c>
      <c r="D260" s="13">
        <v>136552</v>
      </c>
    </row>
    <row r="261" spans="2:4">
      <c r="B261" s="12" t="s">
        <v>420</v>
      </c>
      <c r="C261" s="1" t="s">
        <v>21</v>
      </c>
      <c r="D261" s="13">
        <v>246844</v>
      </c>
    </row>
    <row r="262" spans="2:4" ht="20.45">
      <c r="B262" s="12" t="s">
        <v>421</v>
      </c>
      <c r="C262" s="1" t="s">
        <v>23</v>
      </c>
      <c r="D262" s="13">
        <v>136552</v>
      </c>
    </row>
    <row r="263" spans="2:4" ht="20.45">
      <c r="B263" s="12" t="s">
        <v>422</v>
      </c>
      <c r="C263" s="1" t="s">
        <v>166</v>
      </c>
      <c r="D263" s="13">
        <v>17647</v>
      </c>
    </row>
    <row r="264" spans="2:4" ht="20.45">
      <c r="B264" s="12" t="s">
        <v>423</v>
      </c>
      <c r="C264" s="1" t="s">
        <v>166</v>
      </c>
      <c r="D264" s="13">
        <v>10294</v>
      </c>
    </row>
    <row r="265" spans="2:4" ht="20.45">
      <c r="B265" s="12" t="s">
        <v>424</v>
      </c>
      <c r="C265" s="1" t="s">
        <v>21</v>
      </c>
      <c r="D265" s="13">
        <v>47268</v>
      </c>
    </row>
    <row r="266" spans="2:4">
      <c r="B266" s="12" t="s">
        <v>425</v>
      </c>
      <c r="C266" s="1" t="s">
        <v>166</v>
      </c>
      <c r="D266" s="13">
        <v>18907</v>
      </c>
    </row>
    <row r="267" spans="2:4">
      <c r="B267" s="12" t="s">
        <v>426</v>
      </c>
      <c r="C267" s="1" t="s">
        <v>166</v>
      </c>
      <c r="D267" s="13">
        <v>28739</v>
      </c>
    </row>
    <row r="268" spans="2:4" ht="20.45">
      <c r="B268" s="12" t="s">
        <v>427</v>
      </c>
      <c r="C268" s="1" t="s">
        <v>166</v>
      </c>
      <c r="D268" s="13">
        <v>22887</v>
      </c>
    </row>
    <row r="269" spans="2:4" ht="20.45">
      <c r="B269" s="12" t="s">
        <v>428</v>
      </c>
      <c r="C269" s="1" t="s">
        <v>166</v>
      </c>
      <c r="D269" s="13">
        <v>28240</v>
      </c>
    </row>
    <row r="270" spans="2:4" ht="20.45">
      <c r="B270" s="12" t="s">
        <v>429</v>
      </c>
      <c r="C270" s="1" t="s">
        <v>166</v>
      </c>
      <c r="D270" s="13">
        <v>39638</v>
      </c>
    </row>
    <row r="271" spans="2:4" ht="20.45">
      <c r="B271" s="12" t="s">
        <v>430</v>
      </c>
      <c r="C271" s="1" t="s">
        <v>166</v>
      </c>
      <c r="D271" s="13">
        <v>74911</v>
      </c>
    </row>
    <row r="272" spans="2:4" ht="20.45">
      <c r="B272" s="12" t="s">
        <v>431</v>
      </c>
      <c r="C272" s="1" t="s">
        <v>166</v>
      </c>
      <c r="D272" s="13">
        <v>164352</v>
      </c>
    </row>
    <row r="273" spans="2:4">
      <c r="B273" s="12" t="s">
        <v>432</v>
      </c>
      <c r="C273" s="1" t="s">
        <v>166</v>
      </c>
      <c r="D273" s="13">
        <v>34453</v>
      </c>
    </row>
    <row r="274" spans="2:4">
      <c r="B274" s="12" t="s">
        <v>433</v>
      </c>
      <c r="C274" s="1" t="s">
        <v>166</v>
      </c>
      <c r="D274" s="13">
        <v>130313</v>
      </c>
    </row>
    <row r="275" spans="2:4">
      <c r="B275" s="12" t="s">
        <v>434</v>
      </c>
      <c r="C275" s="1" t="s">
        <v>166</v>
      </c>
      <c r="D275" s="13">
        <v>41512</v>
      </c>
    </row>
    <row r="276" spans="2:4">
      <c r="B276" s="12" t="s">
        <v>140</v>
      </c>
      <c r="C276" s="1" t="s">
        <v>21</v>
      </c>
      <c r="D276" s="13">
        <v>1812</v>
      </c>
    </row>
    <row r="277" spans="2:4" ht="40.9">
      <c r="B277" s="12" t="s">
        <v>435</v>
      </c>
      <c r="C277" s="1" t="s">
        <v>166</v>
      </c>
      <c r="D277" s="13">
        <v>359237</v>
      </c>
    </row>
    <row r="278" spans="2:4" ht="20.45">
      <c r="B278" s="12" t="s">
        <v>436</v>
      </c>
      <c r="C278" s="1" t="s">
        <v>166</v>
      </c>
      <c r="D278" s="13">
        <v>234134</v>
      </c>
    </row>
    <row r="279" spans="2:4" ht="40.9">
      <c r="B279" s="12" t="s">
        <v>437</v>
      </c>
      <c r="C279" s="1" t="s">
        <v>166</v>
      </c>
      <c r="D279" s="13">
        <v>368585</v>
      </c>
    </row>
    <row r="280" spans="2:4">
      <c r="B280" s="12" t="s">
        <v>438</v>
      </c>
      <c r="C280" s="1" t="s">
        <v>166</v>
      </c>
      <c r="D280" s="13">
        <v>33613</v>
      </c>
    </row>
    <row r="281" spans="2:4">
      <c r="B281" s="12" t="s">
        <v>439</v>
      </c>
      <c r="C281" s="1" t="s">
        <v>166</v>
      </c>
      <c r="D281" s="13">
        <v>14338</v>
      </c>
    </row>
    <row r="282" spans="2:4" ht="40.9">
      <c r="B282" s="12" t="s">
        <v>440</v>
      </c>
      <c r="C282" s="1" t="s">
        <v>166</v>
      </c>
      <c r="D282" s="13">
        <v>262600</v>
      </c>
    </row>
    <row r="283" spans="2:4">
      <c r="B283" s="12" t="s">
        <v>441</v>
      </c>
      <c r="C283" s="1" t="s">
        <v>166</v>
      </c>
      <c r="D283" s="13">
        <v>422611</v>
      </c>
    </row>
    <row r="284" spans="2:4">
      <c r="B284" s="12" t="s">
        <v>442</v>
      </c>
      <c r="C284" s="1" t="s">
        <v>166</v>
      </c>
      <c r="D284" s="13">
        <v>10294</v>
      </c>
    </row>
    <row r="285" spans="2:4">
      <c r="B285" s="12" t="s">
        <v>443</v>
      </c>
      <c r="C285" s="1" t="s">
        <v>48</v>
      </c>
      <c r="D285" s="13">
        <v>8128</v>
      </c>
    </row>
    <row r="286" spans="2:4">
      <c r="B286" s="12" t="s">
        <v>444</v>
      </c>
      <c r="C286" s="1" t="s">
        <v>166</v>
      </c>
      <c r="D286" s="13">
        <v>12605</v>
      </c>
    </row>
    <row r="287" spans="2:4">
      <c r="B287" s="12" t="s">
        <v>445</v>
      </c>
      <c r="C287" s="1" t="s">
        <v>166</v>
      </c>
      <c r="D287" s="13">
        <v>42646</v>
      </c>
    </row>
    <row r="288" spans="2:4">
      <c r="B288" s="12" t="s">
        <v>446</v>
      </c>
      <c r="C288" s="1" t="s">
        <v>166</v>
      </c>
      <c r="D288" s="13">
        <v>1786</v>
      </c>
    </row>
    <row r="289" spans="2:4" ht="51">
      <c r="B289" s="12" t="s">
        <v>447</v>
      </c>
      <c r="C289" s="1" t="s">
        <v>166</v>
      </c>
      <c r="D289" s="13">
        <v>357136</v>
      </c>
    </row>
    <row r="290" spans="2:4">
      <c r="B290" s="12" t="s">
        <v>448</v>
      </c>
      <c r="C290" s="1" t="s">
        <v>21</v>
      </c>
      <c r="D290" s="13">
        <v>3781</v>
      </c>
    </row>
    <row r="291" spans="2:4">
      <c r="B291" s="12" t="s">
        <v>449</v>
      </c>
      <c r="C291" s="1" t="s">
        <v>21</v>
      </c>
      <c r="D291" s="13">
        <v>5252</v>
      </c>
    </row>
    <row r="292" spans="2:4">
      <c r="B292" s="12" t="s">
        <v>450</v>
      </c>
      <c r="C292" s="1" t="s">
        <v>21</v>
      </c>
      <c r="D292" s="13">
        <v>2640</v>
      </c>
    </row>
    <row r="293" spans="2:4">
      <c r="B293" s="12" t="s">
        <v>451</v>
      </c>
      <c r="C293" s="1" t="s">
        <v>21</v>
      </c>
      <c r="D293" s="13">
        <v>2931</v>
      </c>
    </row>
    <row r="294" spans="2:4">
      <c r="B294" s="12" t="s">
        <v>452</v>
      </c>
      <c r="C294" s="1" t="s">
        <v>166</v>
      </c>
      <c r="D294" s="13">
        <v>252096</v>
      </c>
    </row>
    <row r="295" spans="2:4">
      <c r="B295" s="12" t="s">
        <v>453</v>
      </c>
      <c r="C295" s="1" t="s">
        <v>166</v>
      </c>
      <c r="D295" s="13">
        <v>357136</v>
      </c>
    </row>
    <row r="296" spans="2:4" ht="30.6">
      <c r="B296" s="12" t="s">
        <v>454</v>
      </c>
      <c r="C296" s="1" t="s">
        <v>166</v>
      </c>
      <c r="D296" s="13">
        <v>391799</v>
      </c>
    </row>
    <row r="297" spans="2:4" ht="30.6">
      <c r="B297" s="12" t="s">
        <v>455</v>
      </c>
      <c r="C297" s="1" t="s">
        <v>166</v>
      </c>
      <c r="D297" s="13">
        <v>714272</v>
      </c>
    </row>
    <row r="298" spans="2:4">
      <c r="B298" s="12" t="s">
        <v>456</v>
      </c>
      <c r="C298" s="1" t="s">
        <v>166</v>
      </c>
      <c r="D298" s="13">
        <v>8928</v>
      </c>
    </row>
    <row r="299" spans="2:4">
      <c r="B299" s="12" t="s">
        <v>457</v>
      </c>
      <c r="C299" s="1" t="s">
        <v>166</v>
      </c>
      <c r="D299" s="13">
        <v>25142</v>
      </c>
    </row>
    <row r="300" spans="2:4">
      <c r="B300" s="12" t="s">
        <v>458</v>
      </c>
      <c r="C300" s="1" t="s">
        <v>166</v>
      </c>
      <c r="D300" s="13">
        <v>29852</v>
      </c>
    </row>
    <row r="301" spans="2:4">
      <c r="B301" s="12" t="s">
        <v>459</v>
      </c>
      <c r="C301" s="1" t="s">
        <v>23</v>
      </c>
      <c r="D301" s="13">
        <v>78257</v>
      </c>
    </row>
    <row r="302" spans="2:4" ht="20.45">
      <c r="B302" s="12" t="s">
        <v>460</v>
      </c>
      <c r="C302" s="1" t="s">
        <v>23</v>
      </c>
      <c r="D302" s="13">
        <v>91280</v>
      </c>
    </row>
    <row r="303" spans="2:4">
      <c r="B303" s="12" t="s">
        <v>461</v>
      </c>
      <c r="C303" s="1" t="s">
        <v>29</v>
      </c>
      <c r="D303" s="13">
        <v>42016</v>
      </c>
    </row>
    <row r="304" spans="2:4">
      <c r="B304" s="12" t="s">
        <v>462</v>
      </c>
      <c r="C304" s="1" t="s">
        <v>166</v>
      </c>
      <c r="D304" s="13">
        <v>9979</v>
      </c>
    </row>
    <row r="305" spans="2:4">
      <c r="B305" s="12" t="s">
        <v>463</v>
      </c>
      <c r="C305" s="1" t="s">
        <v>166</v>
      </c>
      <c r="D305" s="13">
        <v>7143</v>
      </c>
    </row>
    <row r="306" spans="2:4" ht="20.45">
      <c r="B306" s="12" t="s">
        <v>464</v>
      </c>
      <c r="C306" s="1" t="s">
        <v>166</v>
      </c>
      <c r="D306" s="13">
        <v>9244</v>
      </c>
    </row>
    <row r="307" spans="2:4">
      <c r="B307" s="12" t="s">
        <v>465</v>
      </c>
      <c r="C307" s="1" t="s">
        <v>166</v>
      </c>
      <c r="D307" s="13">
        <v>23529</v>
      </c>
    </row>
    <row r="308" spans="2:4">
      <c r="B308" s="12" t="s">
        <v>466</v>
      </c>
      <c r="C308" s="1" t="s">
        <v>166</v>
      </c>
      <c r="D308" s="13">
        <v>13130</v>
      </c>
    </row>
    <row r="309" spans="2:4">
      <c r="B309" s="12" t="s">
        <v>467</v>
      </c>
      <c r="C309" s="1" t="s">
        <v>166</v>
      </c>
      <c r="D309" s="13">
        <v>13130</v>
      </c>
    </row>
    <row r="310" spans="2:4">
      <c r="B310" s="12" t="s">
        <v>468</v>
      </c>
      <c r="C310" s="1" t="s">
        <v>166</v>
      </c>
      <c r="D310" s="13">
        <v>13097</v>
      </c>
    </row>
    <row r="311" spans="2:4">
      <c r="B311" s="12" t="s">
        <v>469</v>
      </c>
      <c r="C311" s="1" t="s">
        <v>166</v>
      </c>
      <c r="D311" s="13">
        <v>1076030</v>
      </c>
    </row>
    <row r="312" spans="2:4">
      <c r="B312" s="12" t="s">
        <v>470</v>
      </c>
      <c r="C312" s="1" t="s">
        <v>166</v>
      </c>
      <c r="D312" s="13">
        <v>42016</v>
      </c>
    </row>
    <row r="313" spans="2:4" ht="30.6">
      <c r="B313" s="12" t="s">
        <v>471</v>
      </c>
      <c r="C313" s="1" t="s">
        <v>166</v>
      </c>
      <c r="D313" s="13">
        <v>1313000</v>
      </c>
    </row>
    <row r="314" spans="2:4">
      <c r="B314" s="12" t="s">
        <v>472</v>
      </c>
      <c r="C314" s="1" t="s">
        <v>166</v>
      </c>
      <c r="D314" s="13">
        <v>26785</v>
      </c>
    </row>
    <row r="315" spans="2:4">
      <c r="B315" s="12" t="s">
        <v>473</v>
      </c>
      <c r="C315" s="1" t="s">
        <v>166</v>
      </c>
      <c r="D315" s="13">
        <v>29411</v>
      </c>
    </row>
    <row r="316" spans="2:4">
      <c r="B316" s="12" t="s">
        <v>474</v>
      </c>
      <c r="C316" s="1" t="s">
        <v>29</v>
      </c>
      <c r="D316" s="13">
        <v>115544</v>
      </c>
    </row>
    <row r="317" spans="2:4">
      <c r="B317" s="12" t="s">
        <v>475</v>
      </c>
      <c r="C317" s="1" t="s">
        <v>29</v>
      </c>
      <c r="D317" s="13">
        <v>115544</v>
      </c>
    </row>
    <row r="318" spans="2:4">
      <c r="B318" s="12" t="s">
        <v>476</v>
      </c>
      <c r="C318" s="1" t="s">
        <v>21</v>
      </c>
      <c r="D318" s="13">
        <v>65125</v>
      </c>
    </row>
    <row r="319" spans="2:4">
      <c r="B319" s="12" t="s">
        <v>477</v>
      </c>
      <c r="C319" s="1" t="s">
        <v>21</v>
      </c>
      <c r="D319" s="13">
        <v>10706</v>
      </c>
    </row>
    <row r="320" spans="2:4">
      <c r="B320" s="12" t="s">
        <v>478</v>
      </c>
      <c r="C320" s="1" t="s">
        <v>21</v>
      </c>
      <c r="D320" s="13">
        <v>5011</v>
      </c>
    </row>
    <row r="321" spans="2:4">
      <c r="B321" s="12" t="s">
        <v>479</v>
      </c>
      <c r="C321" s="1" t="s">
        <v>21</v>
      </c>
      <c r="D321" s="13">
        <v>7953</v>
      </c>
    </row>
    <row r="322" spans="2:4">
      <c r="B322" s="12" t="s">
        <v>480</v>
      </c>
      <c r="C322" s="1" t="s">
        <v>21</v>
      </c>
      <c r="D322" s="13">
        <v>5405</v>
      </c>
    </row>
    <row r="323" spans="2:4">
      <c r="B323" s="12" t="s">
        <v>481</v>
      </c>
      <c r="C323" s="1" t="s">
        <v>21</v>
      </c>
      <c r="D323" s="13">
        <v>3115</v>
      </c>
    </row>
    <row r="324" spans="2:4">
      <c r="B324" s="12" t="s">
        <v>482</v>
      </c>
      <c r="C324" s="1" t="s">
        <v>21</v>
      </c>
      <c r="D324" s="13">
        <v>4317</v>
      </c>
    </row>
    <row r="325" spans="2:4">
      <c r="B325" s="12" t="s">
        <v>483</v>
      </c>
      <c r="C325" s="1" t="s">
        <v>21</v>
      </c>
      <c r="D325" s="13">
        <v>5750</v>
      </c>
    </row>
    <row r="326" spans="2:4">
      <c r="B326" s="12" t="s">
        <v>484</v>
      </c>
      <c r="C326" s="1" t="s">
        <v>21</v>
      </c>
      <c r="D326" s="13">
        <v>8504</v>
      </c>
    </row>
    <row r="327" spans="2:4">
      <c r="B327" s="12" t="s">
        <v>485</v>
      </c>
      <c r="C327" s="1" t="s">
        <v>21</v>
      </c>
      <c r="D327" s="13">
        <v>13081</v>
      </c>
    </row>
    <row r="328" spans="2:4">
      <c r="B328" s="12" t="s">
        <v>486</v>
      </c>
      <c r="C328" s="1" t="s">
        <v>21</v>
      </c>
      <c r="D328" s="13">
        <v>11172</v>
      </c>
    </row>
    <row r="329" spans="2:4">
      <c r="B329" s="12" t="s">
        <v>487</v>
      </c>
      <c r="C329" s="1" t="s">
        <v>21</v>
      </c>
      <c r="D329" s="13">
        <v>8109</v>
      </c>
    </row>
    <row r="330" spans="2:4">
      <c r="B330" s="12" t="s">
        <v>488</v>
      </c>
      <c r="C330" s="1" t="s">
        <v>21</v>
      </c>
      <c r="D330" s="13">
        <v>10822</v>
      </c>
    </row>
    <row r="331" spans="2:4">
      <c r="B331" s="12" t="s">
        <v>489</v>
      </c>
      <c r="C331" s="1" t="s">
        <v>21</v>
      </c>
      <c r="D331" s="13">
        <v>18663</v>
      </c>
    </row>
    <row r="332" spans="2:4">
      <c r="B332" s="12" t="s">
        <v>490</v>
      </c>
      <c r="C332" s="1" t="s">
        <v>21</v>
      </c>
      <c r="D332" s="13">
        <v>26466</v>
      </c>
    </row>
    <row r="333" spans="2:4">
      <c r="B333" s="12" t="s">
        <v>491</v>
      </c>
      <c r="C333" s="1" t="s">
        <v>21</v>
      </c>
      <c r="D333" s="13">
        <v>35454</v>
      </c>
    </row>
    <row r="334" spans="2:4">
      <c r="B334" s="12" t="s">
        <v>492</v>
      </c>
      <c r="C334" s="1" t="s">
        <v>21</v>
      </c>
      <c r="D334" s="13">
        <v>126048</v>
      </c>
    </row>
    <row r="335" spans="2:4">
      <c r="B335" s="12" t="s">
        <v>493</v>
      </c>
      <c r="C335" s="1" t="s">
        <v>21</v>
      </c>
      <c r="D335" s="13">
        <v>3685</v>
      </c>
    </row>
    <row r="336" spans="2:4">
      <c r="B336" s="12" t="s">
        <v>494</v>
      </c>
      <c r="C336" s="1" t="s">
        <v>21</v>
      </c>
      <c r="D336" s="13">
        <v>4908</v>
      </c>
    </row>
    <row r="337" spans="2:4">
      <c r="B337" s="12" t="s">
        <v>495</v>
      </c>
      <c r="C337" s="1" t="s">
        <v>21</v>
      </c>
      <c r="D337" s="13">
        <v>7149</v>
      </c>
    </row>
    <row r="338" spans="2:4">
      <c r="B338" s="12" t="s">
        <v>496</v>
      </c>
      <c r="C338" s="1" t="s">
        <v>21</v>
      </c>
      <c r="D338" s="13">
        <v>8236</v>
      </c>
    </row>
    <row r="339" spans="2:4">
      <c r="B339" s="12" t="s">
        <v>497</v>
      </c>
      <c r="C339" s="1" t="s">
        <v>21</v>
      </c>
      <c r="D339" s="13">
        <v>11615</v>
      </c>
    </row>
    <row r="340" spans="2:4">
      <c r="B340" s="12" t="s">
        <v>498</v>
      </c>
      <c r="C340" s="1" t="s">
        <v>21</v>
      </c>
      <c r="D340" s="13">
        <v>17810</v>
      </c>
    </row>
    <row r="341" spans="2:4">
      <c r="B341" s="12" t="s">
        <v>499</v>
      </c>
      <c r="C341" s="1" t="s">
        <v>21</v>
      </c>
      <c r="D341" s="13">
        <v>28864</v>
      </c>
    </row>
    <row r="342" spans="2:4">
      <c r="B342" s="12" t="s">
        <v>500</v>
      </c>
      <c r="C342" s="1" t="s">
        <v>21</v>
      </c>
      <c r="D342" s="13">
        <v>38537</v>
      </c>
    </row>
    <row r="343" spans="2:4">
      <c r="B343" s="12" t="s">
        <v>501</v>
      </c>
      <c r="C343" s="1" t="s">
        <v>21</v>
      </c>
      <c r="D343" s="13">
        <v>12376</v>
      </c>
    </row>
    <row r="344" spans="2:4">
      <c r="B344" s="12" t="s">
        <v>502</v>
      </c>
      <c r="C344" s="1" t="s">
        <v>21</v>
      </c>
      <c r="D344" s="13">
        <v>18486</v>
      </c>
    </row>
    <row r="345" spans="2:4">
      <c r="B345" s="12" t="s">
        <v>503</v>
      </c>
      <c r="C345" s="1" t="s">
        <v>21</v>
      </c>
      <c r="D345" s="13">
        <v>25761</v>
      </c>
    </row>
    <row r="346" spans="2:4">
      <c r="B346" s="12" t="s">
        <v>504</v>
      </c>
      <c r="C346" s="1" t="s">
        <v>21</v>
      </c>
      <c r="D346" s="13">
        <v>54553</v>
      </c>
    </row>
    <row r="347" spans="2:4" ht="40.9">
      <c r="B347" s="12" t="s">
        <v>505</v>
      </c>
      <c r="C347" s="1" t="s">
        <v>166</v>
      </c>
      <c r="D347" s="13">
        <v>2815072</v>
      </c>
    </row>
    <row r="348" spans="2:4">
      <c r="B348" s="12" t="s">
        <v>506</v>
      </c>
      <c r="C348" s="1" t="s">
        <v>23</v>
      </c>
      <c r="D348" s="13">
        <v>47268</v>
      </c>
    </row>
    <row r="349" spans="2:4">
      <c r="B349" s="12" t="s">
        <v>507</v>
      </c>
      <c r="C349" s="1" t="s">
        <v>166</v>
      </c>
      <c r="D349" s="13">
        <v>18802</v>
      </c>
    </row>
    <row r="350" spans="2:4">
      <c r="B350" s="12" t="s">
        <v>508</v>
      </c>
      <c r="C350" s="1" t="s">
        <v>166</v>
      </c>
      <c r="D350" s="13">
        <v>17837</v>
      </c>
    </row>
    <row r="351" spans="2:4">
      <c r="B351" s="12" t="s">
        <v>509</v>
      </c>
      <c r="C351" s="1" t="s">
        <v>166</v>
      </c>
      <c r="D351" s="13">
        <v>16596</v>
      </c>
    </row>
    <row r="352" spans="2:4">
      <c r="B352" s="12" t="s">
        <v>510</v>
      </c>
      <c r="C352" s="1" t="s">
        <v>166</v>
      </c>
      <c r="D352" s="13">
        <v>36285</v>
      </c>
    </row>
    <row r="353" spans="2:4">
      <c r="B353" s="12" t="s">
        <v>511</v>
      </c>
      <c r="C353" s="1" t="s">
        <v>166</v>
      </c>
      <c r="D353" s="13">
        <v>22907</v>
      </c>
    </row>
    <row r="354" spans="2:4">
      <c r="B354" s="12" t="s">
        <v>512</v>
      </c>
      <c r="C354" s="1" t="s">
        <v>166</v>
      </c>
      <c r="D354" s="13">
        <v>257949</v>
      </c>
    </row>
    <row r="355" spans="2:4" ht="20.45">
      <c r="B355" s="12" t="s">
        <v>513</v>
      </c>
      <c r="C355" s="1" t="s">
        <v>166</v>
      </c>
      <c r="D355" s="13">
        <v>193462</v>
      </c>
    </row>
    <row r="356" spans="2:4">
      <c r="B356" s="12" t="s">
        <v>514</v>
      </c>
      <c r="C356" s="1" t="s">
        <v>166</v>
      </c>
      <c r="D356" s="13">
        <v>37042</v>
      </c>
    </row>
    <row r="357" spans="2:4">
      <c r="B357" s="12" t="s">
        <v>515</v>
      </c>
      <c r="C357" s="1" t="s">
        <v>166</v>
      </c>
      <c r="D357" s="13">
        <v>69116</v>
      </c>
    </row>
    <row r="358" spans="2:4" ht="20.45">
      <c r="B358" s="12" t="s">
        <v>516</v>
      </c>
      <c r="C358" s="1" t="s">
        <v>23</v>
      </c>
      <c r="D358" s="13">
        <v>157560</v>
      </c>
    </row>
    <row r="359" spans="2:4">
      <c r="B359" s="12" t="s">
        <v>517</v>
      </c>
      <c r="C359" s="1" t="s">
        <v>166</v>
      </c>
      <c r="D359" s="13">
        <v>88296</v>
      </c>
    </row>
    <row r="360" spans="2:4">
      <c r="B360" s="12" t="s">
        <v>91</v>
      </c>
      <c r="C360" s="1" t="s">
        <v>21</v>
      </c>
      <c r="D360" s="13">
        <v>1617</v>
      </c>
    </row>
    <row r="361" spans="2:4">
      <c r="B361" s="12" t="s">
        <v>518</v>
      </c>
      <c r="C361" s="1" t="s">
        <v>323</v>
      </c>
      <c r="D361" s="13">
        <v>69886</v>
      </c>
    </row>
    <row r="362" spans="2:4">
      <c r="B362" s="12" t="s">
        <v>519</v>
      </c>
      <c r="C362" s="1" t="s">
        <v>278</v>
      </c>
      <c r="D362" s="13">
        <v>16649</v>
      </c>
    </row>
    <row r="363" spans="2:4">
      <c r="B363" s="12" t="s">
        <v>520</v>
      </c>
      <c r="C363" s="1" t="s">
        <v>21</v>
      </c>
      <c r="D363" s="13">
        <v>4727</v>
      </c>
    </row>
    <row r="364" spans="2:4" ht="20.45">
      <c r="B364" s="14" t="s">
        <v>521</v>
      </c>
      <c r="C364" s="2" t="s">
        <v>166</v>
      </c>
      <c r="D364" s="13">
        <v>262600</v>
      </c>
    </row>
    <row r="365" spans="2:4" ht="20.45">
      <c r="B365" s="12" t="s">
        <v>522</v>
      </c>
      <c r="C365" s="1" t="s">
        <v>166</v>
      </c>
      <c r="D365" s="13">
        <v>113128</v>
      </c>
    </row>
    <row r="366" spans="2:4" ht="20.45">
      <c r="B366" s="12" t="s">
        <v>523</v>
      </c>
      <c r="C366" s="1" t="s">
        <v>166</v>
      </c>
      <c r="D366" s="13">
        <v>294112</v>
      </c>
    </row>
    <row r="367" spans="2:4">
      <c r="B367" s="12" t="s">
        <v>524</v>
      </c>
      <c r="C367" s="1" t="s">
        <v>166</v>
      </c>
      <c r="D367" s="13">
        <v>288860</v>
      </c>
    </row>
    <row r="368" spans="2:4">
      <c r="B368" s="12" t="s">
        <v>525</v>
      </c>
      <c r="C368" s="1" t="s">
        <v>166</v>
      </c>
      <c r="D368" s="13">
        <v>224786</v>
      </c>
    </row>
    <row r="369" spans="2:4">
      <c r="B369" s="12" t="s">
        <v>526</v>
      </c>
      <c r="C369" s="1" t="s">
        <v>166</v>
      </c>
      <c r="D369" s="13">
        <v>158610</v>
      </c>
    </row>
    <row r="370" spans="2:4">
      <c r="B370" s="12" t="s">
        <v>527</v>
      </c>
      <c r="C370" s="1" t="s">
        <v>166</v>
      </c>
      <c r="D370" s="13">
        <v>45692</v>
      </c>
    </row>
    <row r="371" spans="2:4">
      <c r="B371" s="12" t="s">
        <v>528</v>
      </c>
      <c r="C371" s="1" t="s">
        <v>166</v>
      </c>
      <c r="D371" s="13">
        <v>298839</v>
      </c>
    </row>
    <row r="372" spans="2:4">
      <c r="B372" s="12" t="s">
        <v>529</v>
      </c>
      <c r="C372" s="1" t="s">
        <v>166</v>
      </c>
      <c r="D372" s="13">
        <v>278356</v>
      </c>
    </row>
    <row r="373" spans="2:4">
      <c r="B373" s="12" t="s">
        <v>530</v>
      </c>
      <c r="C373" s="1" t="s">
        <v>166</v>
      </c>
      <c r="D373" s="13">
        <v>99788</v>
      </c>
    </row>
    <row r="374" spans="2:4">
      <c r="B374" s="12" t="s">
        <v>531</v>
      </c>
      <c r="C374" s="1" t="s">
        <v>166</v>
      </c>
      <c r="D374" s="13">
        <v>56301</v>
      </c>
    </row>
    <row r="375" spans="2:4">
      <c r="B375" s="12" t="s">
        <v>532</v>
      </c>
      <c r="C375" s="1" t="s">
        <v>166</v>
      </c>
      <c r="D375" s="13">
        <v>334689</v>
      </c>
    </row>
    <row r="376" spans="2:4">
      <c r="B376" s="12" t="s">
        <v>533</v>
      </c>
      <c r="C376" s="1" t="s">
        <v>21</v>
      </c>
      <c r="D376" s="13">
        <v>54621</v>
      </c>
    </row>
    <row r="377" spans="2:4">
      <c r="B377" s="12" t="s">
        <v>534</v>
      </c>
      <c r="C377" s="1" t="s">
        <v>21</v>
      </c>
      <c r="D377" s="13">
        <v>47323</v>
      </c>
    </row>
    <row r="378" spans="2:4">
      <c r="B378" s="12" t="s">
        <v>535</v>
      </c>
      <c r="C378" s="1" t="s">
        <v>21</v>
      </c>
      <c r="D378" s="13">
        <v>23529</v>
      </c>
    </row>
    <row r="379" spans="2:4">
      <c r="B379" s="12" t="s">
        <v>536</v>
      </c>
      <c r="C379" s="1" t="s">
        <v>166</v>
      </c>
      <c r="D379" s="13">
        <v>388648</v>
      </c>
    </row>
    <row r="380" spans="2:4">
      <c r="B380" s="12" t="s">
        <v>537</v>
      </c>
      <c r="C380" s="1" t="s">
        <v>166</v>
      </c>
      <c r="D380" s="13">
        <v>125891</v>
      </c>
    </row>
    <row r="381" spans="2:4">
      <c r="B381" s="12" t="s">
        <v>538</v>
      </c>
      <c r="C381" s="1" t="s">
        <v>166</v>
      </c>
      <c r="D381" s="13">
        <v>46382</v>
      </c>
    </row>
    <row r="382" spans="2:4" ht="20.45">
      <c r="B382" s="12" t="s">
        <v>539</v>
      </c>
      <c r="C382" s="1" t="s">
        <v>166</v>
      </c>
      <c r="D382" s="13">
        <v>126048</v>
      </c>
    </row>
    <row r="383" spans="2:4" ht="20.45">
      <c r="B383" s="12" t="s">
        <v>540</v>
      </c>
      <c r="C383" s="1" t="s">
        <v>21</v>
      </c>
      <c r="D383" s="13">
        <v>48844</v>
      </c>
    </row>
    <row r="384" spans="2:4" ht="20.45">
      <c r="B384" s="12" t="s">
        <v>541</v>
      </c>
      <c r="C384" s="1" t="s">
        <v>21</v>
      </c>
      <c r="D384" s="13">
        <v>35504</v>
      </c>
    </row>
    <row r="385" spans="2:4">
      <c r="B385" s="12" t="s">
        <v>542</v>
      </c>
      <c r="C385" s="1" t="s">
        <v>21</v>
      </c>
      <c r="D385" s="13">
        <v>71932</v>
      </c>
    </row>
    <row r="386" spans="2:4" ht="20.45">
      <c r="B386" s="12" t="s">
        <v>543</v>
      </c>
      <c r="C386" s="1" t="s">
        <v>166</v>
      </c>
      <c r="D386" s="13">
        <v>113443</v>
      </c>
    </row>
    <row r="387" spans="2:4" ht="20.45">
      <c r="B387" s="12" t="s">
        <v>544</v>
      </c>
      <c r="C387" s="1" t="s">
        <v>166</v>
      </c>
      <c r="D387" s="13">
        <v>57982</v>
      </c>
    </row>
    <row r="388" spans="2:4">
      <c r="B388" s="12" t="s">
        <v>545</v>
      </c>
      <c r="C388" s="1" t="s">
        <v>166</v>
      </c>
      <c r="D388" s="13">
        <v>38655</v>
      </c>
    </row>
    <row r="389" spans="2:4">
      <c r="B389" s="12" t="s">
        <v>546</v>
      </c>
      <c r="C389" s="1" t="s">
        <v>166</v>
      </c>
      <c r="D389" s="13">
        <v>302095</v>
      </c>
    </row>
    <row r="390" spans="2:4">
      <c r="B390" s="12" t="s">
        <v>547</v>
      </c>
      <c r="C390" s="1" t="s">
        <v>166</v>
      </c>
      <c r="D390" s="13">
        <v>184765</v>
      </c>
    </row>
    <row r="391" spans="2:4">
      <c r="B391" s="12" t="s">
        <v>548</v>
      </c>
      <c r="C391" s="1" t="s">
        <v>166</v>
      </c>
      <c r="D391" s="13">
        <v>998510</v>
      </c>
    </row>
    <row r="392" spans="2:4">
      <c r="B392" s="12" t="s">
        <v>549</v>
      </c>
      <c r="C392" s="1" t="s">
        <v>166</v>
      </c>
      <c r="D392" s="13">
        <v>756667</v>
      </c>
    </row>
    <row r="393" spans="2:4">
      <c r="B393" s="12" t="s">
        <v>550</v>
      </c>
      <c r="C393" s="1" t="s">
        <v>166</v>
      </c>
      <c r="D393" s="13">
        <v>1321193</v>
      </c>
    </row>
    <row r="394" spans="2:4">
      <c r="B394" s="12" t="s">
        <v>551</v>
      </c>
      <c r="C394" s="1" t="s">
        <v>166</v>
      </c>
      <c r="D394" s="13">
        <v>178568</v>
      </c>
    </row>
    <row r="395" spans="2:4" ht="40.9">
      <c r="B395" s="12" t="s">
        <v>552</v>
      </c>
      <c r="C395" s="1" t="s">
        <v>166</v>
      </c>
      <c r="D395" s="13">
        <v>12480000</v>
      </c>
    </row>
    <row r="396" spans="2:4">
      <c r="B396" s="12" t="s">
        <v>553</v>
      </c>
      <c r="C396" s="1" t="s">
        <v>166</v>
      </c>
      <c r="D396" s="13">
        <v>125817</v>
      </c>
    </row>
    <row r="397" spans="2:4">
      <c r="B397" s="12" t="s">
        <v>554</v>
      </c>
      <c r="C397" s="1" t="s">
        <v>21</v>
      </c>
      <c r="D397" s="13">
        <v>99239</v>
      </c>
    </row>
    <row r="398" spans="2:4">
      <c r="B398" s="12" t="s">
        <v>555</v>
      </c>
      <c r="C398" s="1" t="s">
        <v>21</v>
      </c>
      <c r="D398" s="13">
        <v>56431</v>
      </c>
    </row>
    <row r="399" spans="2:4">
      <c r="B399" s="12" t="s">
        <v>556</v>
      </c>
      <c r="C399" s="1" t="s">
        <v>166</v>
      </c>
      <c r="D399" s="13">
        <v>75513</v>
      </c>
    </row>
    <row r="400" spans="2:4">
      <c r="B400" s="12" t="s">
        <v>557</v>
      </c>
      <c r="C400" s="1" t="s">
        <v>166</v>
      </c>
      <c r="D400" s="13">
        <v>63276</v>
      </c>
    </row>
    <row r="401" spans="2:4">
      <c r="B401" s="12" t="s">
        <v>558</v>
      </c>
      <c r="C401" s="1" t="s">
        <v>166</v>
      </c>
      <c r="D401" s="13">
        <v>24758</v>
      </c>
    </row>
    <row r="402" spans="2:4">
      <c r="B402" s="12" t="s">
        <v>559</v>
      </c>
      <c r="C402" s="1" t="s">
        <v>166</v>
      </c>
      <c r="D402" s="13">
        <v>16386</v>
      </c>
    </row>
    <row r="403" spans="2:4">
      <c r="B403" s="12" t="s">
        <v>560</v>
      </c>
      <c r="C403" s="1" t="s">
        <v>166</v>
      </c>
      <c r="D403" s="13">
        <v>14874</v>
      </c>
    </row>
    <row r="404" spans="2:4">
      <c r="B404" s="12" t="s">
        <v>561</v>
      </c>
      <c r="C404" s="1" t="s">
        <v>166</v>
      </c>
      <c r="D404" s="13">
        <v>193399</v>
      </c>
    </row>
    <row r="405" spans="2:4">
      <c r="B405" s="12" t="s">
        <v>562</v>
      </c>
      <c r="C405" s="1" t="s">
        <v>166</v>
      </c>
      <c r="D405" s="13">
        <v>1712152</v>
      </c>
    </row>
    <row r="406" spans="2:4">
      <c r="B406" s="12" t="s">
        <v>563</v>
      </c>
      <c r="C406" s="1" t="s">
        <v>166</v>
      </c>
      <c r="D406" s="13">
        <v>714272</v>
      </c>
    </row>
    <row r="407" spans="2:4">
      <c r="B407" s="12" t="s">
        <v>564</v>
      </c>
      <c r="C407" s="1" t="s">
        <v>166</v>
      </c>
      <c r="D407" s="13">
        <v>367640</v>
      </c>
    </row>
    <row r="408" spans="2:4">
      <c r="B408" s="12" t="s">
        <v>565</v>
      </c>
      <c r="C408" s="1" t="s">
        <v>166</v>
      </c>
      <c r="D408" s="13">
        <v>1453249</v>
      </c>
    </row>
    <row r="409" spans="2:4">
      <c r="B409" s="12" t="s">
        <v>566</v>
      </c>
      <c r="C409" s="1" t="s">
        <v>166</v>
      </c>
      <c r="D409" s="13">
        <v>1024980</v>
      </c>
    </row>
    <row r="410" spans="2:4">
      <c r="B410" s="12" t="s">
        <v>567</v>
      </c>
      <c r="C410" s="1" t="s">
        <v>166</v>
      </c>
      <c r="D410" s="13">
        <v>845677</v>
      </c>
    </row>
    <row r="411" spans="2:4" ht="20.45">
      <c r="B411" s="12" t="s">
        <v>568</v>
      </c>
      <c r="C411" s="1" t="s">
        <v>166</v>
      </c>
      <c r="D411" s="13">
        <v>2920742</v>
      </c>
    </row>
    <row r="412" spans="2:4">
      <c r="B412" s="12" t="s">
        <v>569</v>
      </c>
      <c r="C412" s="1" t="s">
        <v>166</v>
      </c>
      <c r="D412" s="13">
        <v>1227918</v>
      </c>
    </row>
    <row r="413" spans="2:4">
      <c r="B413" s="12" t="s">
        <v>570</v>
      </c>
      <c r="C413" s="1" t="s">
        <v>166</v>
      </c>
      <c r="D413" s="13">
        <v>451882</v>
      </c>
    </row>
    <row r="414" spans="2:4">
      <c r="B414" s="12" t="s">
        <v>571</v>
      </c>
      <c r="C414" s="1" t="s">
        <v>166</v>
      </c>
      <c r="D414" s="13">
        <v>63024</v>
      </c>
    </row>
    <row r="415" spans="2:4">
      <c r="B415" s="12" t="s">
        <v>572</v>
      </c>
      <c r="C415" s="1" t="s">
        <v>166</v>
      </c>
      <c r="D415" s="13">
        <v>33613</v>
      </c>
    </row>
    <row r="416" spans="2:4">
      <c r="B416" s="12" t="s">
        <v>573</v>
      </c>
      <c r="C416" s="1" t="s">
        <v>166</v>
      </c>
      <c r="D416" s="13">
        <v>205511</v>
      </c>
    </row>
    <row r="417" spans="2:4" ht="30.6">
      <c r="B417" s="12" t="s">
        <v>574</v>
      </c>
      <c r="C417" s="1" t="s">
        <v>166</v>
      </c>
      <c r="D417" s="13">
        <v>198526</v>
      </c>
    </row>
    <row r="418" spans="2:4">
      <c r="B418" s="12" t="s">
        <v>575</v>
      </c>
      <c r="C418" s="1" t="s">
        <v>166</v>
      </c>
      <c r="D418" s="13">
        <v>170165</v>
      </c>
    </row>
    <row r="419" spans="2:4" ht="20.45">
      <c r="B419" s="12" t="s">
        <v>576</v>
      </c>
      <c r="C419" s="1" t="s">
        <v>21</v>
      </c>
      <c r="D419" s="13">
        <v>20168</v>
      </c>
    </row>
    <row r="420" spans="2:4" ht="20.45">
      <c r="B420" s="12" t="s">
        <v>577</v>
      </c>
      <c r="C420" s="1" t="s">
        <v>166</v>
      </c>
      <c r="D420" s="13">
        <v>3435</v>
      </c>
    </row>
    <row r="421" spans="2:4">
      <c r="B421" s="12" t="s">
        <v>578</v>
      </c>
      <c r="C421" s="1" t="s">
        <v>21</v>
      </c>
      <c r="D421" s="13">
        <v>55840</v>
      </c>
    </row>
    <row r="422" spans="2:4">
      <c r="B422" s="12" t="s">
        <v>579</v>
      </c>
      <c r="C422" s="1" t="s">
        <v>166</v>
      </c>
      <c r="D422" s="13">
        <v>15651</v>
      </c>
    </row>
    <row r="423" spans="2:4">
      <c r="B423" s="12" t="s">
        <v>580</v>
      </c>
      <c r="C423" s="1" t="s">
        <v>166</v>
      </c>
      <c r="D423" s="13">
        <v>7899</v>
      </c>
    </row>
    <row r="424" spans="2:4">
      <c r="B424" s="12" t="s">
        <v>581</v>
      </c>
      <c r="C424" s="1" t="s">
        <v>166</v>
      </c>
      <c r="D424" s="13">
        <v>136552</v>
      </c>
    </row>
    <row r="425" spans="2:4">
      <c r="B425" s="12" t="s">
        <v>582</v>
      </c>
      <c r="C425" s="1" t="s">
        <v>166</v>
      </c>
      <c r="D425" s="13">
        <v>2278318</v>
      </c>
    </row>
    <row r="426" spans="2:4">
      <c r="B426" s="12" t="s">
        <v>583</v>
      </c>
      <c r="C426" s="1" t="s">
        <v>166</v>
      </c>
      <c r="D426" s="13">
        <v>439487</v>
      </c>
    </row>
    <row r="427" spans="2:4">
      <c r="B427" s="12" t="s">
        <v>584</v>
      </c>
      <c r="C427" s="1" t="s">
        <v>166</v>
      </c>
      <c r="D427" s="13">
        <v>276214</v>
      </c>
    </row>
    <row r="428" spans="2:4">
      <c r="B428" s="12" t="s">
        <v>585</v>
      </c>
      <c r="C428" s="1" t="s">
        <v>166</v>
      </c>
      <c r="D428" s="13">
        <v>532279</v>
      </c>
    </row>
    <row r="429" spans="2:4">
      <c r="B429" s="12" t="s">
        <v>586</v>
      </c>
      <c r="C429" s="1" t="s">
        <v>166</v>
      </c>
      <c r="D429" s="13">
        <v>807947</v>
      </c>
    </row>
    <row r="430" spans="2:4">
      <c r="B430" s="12" t="s">
        <v>587</v>
      </c>
      <c r="C430" s="1" t="s">
        <v>166</v>
      </c>
      <c r="D430" s="13">
        <v>30357</v>
      </c>
    </row>
    <row r="431" spans="2:4">
      <c r="B431" s="12" t="s">
        <v>588</v>
      </c>
      <c r="C431" s="1" t="s">
        <v>166</v>
      </c>
      <c r="D431" s="13">
        <v>89284</v>
      </c>
    </row>
    <row r="432" spans="2:4" ht="20.45">
      <c r="B432" s="12" t="s">
        <v>589</v>
      </c>
      <c r="C432" s="1" t="s">
        <v>23</v>
      </c>
      <c r="D432" s="13">
        <v>262600</v>
      </c>
    </row>
    <row r="433" spans="2:4">
      <c r="B433" s="12" t="s">
        <v>590</v>
      </c>
      <c r="C433" s="1" t="s">
        <v>166</v>
      </c>
      <c r="D433" s="13">
        <v>134136</v>
      </c>
    </row>
    <row r="434" spans="2:4">
      <c r="B434" s="12" t="s">
        <v>591</v>
      </c>
      <c r="C434" s="1" t="s">
        <v>21</v>
      </c>
      <c r="D434" s="13">
        <v>63024</v>
      </c>
    </row>
    <row r="435" spans="2:4">
      <c r="B435" s="12" t="s">
        <v>592</v>
      </c>
      <c r="C435" s="1" t="s">
        <v>21</v>
      </c>
      <c r="D435" s="13">
        <v>38550</v>
      </c>
    </row>
    <row r="436" spans="2:4">
      <c r="B436" s="12" t="s">
        <v>593</v>
      </c>
      <c r="C436" s="1" t="s">
        <v>166</v>
      </c>
      <c r="D436" s="13">
        <v>8613</v>
      </c>
    </row>
    <row r="437" spans="2:4">
      <c r="B437" s="12" t="s">
        <v>594</v>
      </c>
      <c r="C437" s="1" t="s">
        <v>166</v>
      </c>
      <c r="D437" s="13">
        <v>10662</v>
      </c>
    </row>
    <row r="438" spans="2:4">
      <c r="B438" s="12" t="s">
        <v>595</v>
      </c>
      <c r="C438" s="1" t="s">
        <v>166</v>
      </c>
      <c r="D438" s="13">
        <v>7899</v>
      </c>
    </row>
    <row r="439" spans="2:4">
      <c r="B439" s="12" t="s">
        <v>596</v>
      </c>
      <c r="C439" s="1" t="s">
        <v>166</v>
      </c>
      <c r="D439" s="13">
        <v>71427</v>
      </c>
    </row>
    <row r="440" spans="2:4">
      <c r="B440" s="12" t="s">
        <v>597</v>
      </c>
      <c r="C440" s="1" t="s">
        <v>166</v>
      </c>
      <c r="D440" s="13">
        <v>1081912</v>
      </c>
    </row>
    <row r="441" spans="2:4" ht="20.45">
      <c r="B441" s="12" t="s">
        <v>598</v>
      </c>
      <c r="C441" s="1" t="s">
        <v>166</v>
      </c>
      <c r="D441" s="13">
        <v>262600</v>
      </c>
    </row>
    <row r="442" spans="2:4" ht="20.45">
      <c r="B442" s="12" t="s">
        <v>599</v>
      </c>
      <c r="C442" s="1" t="s">
        <v>23</v>
      </c>
      <c r="D442" s="13">
        <v>23109</v>
      </c>
    </row>
    <row r="443" spans="2:4" ht="20.45">
      <c r="B443" s="12" t="s">
        <v>600</v>
      </c>
      <c r="C443" s="1" t="s">
        <v>23</v>
      </c>
      <c r="D443" s="13">
        <v>231088</v>
      </c>
    </row>
    <row r="444" spans="2:4" ht="40.9">
      <c r="B444" s="12" t="s">
        <v>601</v>
      </c>
      <c r="C444" s="1" t="s">
        <v>23</v>
      </c>
      <c r="D444" s="13">
        <v>183820</v>
      </c>
    </row>
    <row r="445" spans="2:4" ht="51">
      <c r="B445" s="12" t="s">
        <v>602</v>
      </c>
      <c r="C445" s="1" t="s">
        <v>23</v>
      </c>
      <c r="D445" s="13">
        <v>157560</v>
      </c>
    </row>
    <row r="446" spans="2:4" ht="40.9">
      <c r="B446" s="12" t="s">
        <v>603</v>
      </c>
      <c r="C446" s="1" t="s">
        <v>23</v>
      </c>
      <c r="D446" s="13">
        <v>189072</v>
      </c>
    </row>
    <row r="447" spans="2:4" ht="61.15">
      <c r="B447" s="12" t="s">
        <v>604</v>
      </c>
      <c r="C447" s="1" t="s">
        <v>23</v>
      </c>
      <c r="D447" s="13">
        <v>210080</v>
      </c>
    </row>
    <row r="448" spans="2:4" ht="61.15">
      <c r="B448" s="12" t="s">
        <v>605</v>
      </c>
      <c r="C448" s="1" t="s">
        <v>23</v>
      </c>
      <c r="D448" s="13">
        <v>189072</v>
      </c>
    </row>
    <row r="449" spans="2:4" ht="61.15">
      <c r="B449" s="12" t="s">
        <v>606</v>
      </c>
      <c r="C449" s="1" t="s">
        <v>23</v>
      </c>
      <c r="D449" s="13">
        <v>178568</v>
      </c>
    </row>
    <row r="450" spans="2:4" ht="61.15">
      <c r="B450" s="12" t="s">
        <v>607</v>
      </c>
      <c r="C450" s="1" t="s">
        <v>23</v>
      </c>
      <c r="D450" s="13">
        <v>168064</v>
      </c>
    </row>
    <row r="451" spans="2:4">
      <c r="B451" s="12" t="s">
        <v>608</v>
      </c>
      <c r="C451" s="1" t="s">
        <v>166</v>
      </c>
      <c r="D451" s="13">
        <v>525</v>
      </c>
    </row>
    <row r="452" spans="2:4" ht="20.45">
      <c r="B452" s="12" t="s">
        <v>609</v>
      </c>
      <c r="C452" s="1" t="s">
        <v>21</v>
      </c>
      <c r="D452" s="13">
        <v>26260</v>
      </c>
    </row>
    <row r="453" spans="2:4" ht="30.6">
      <c r="B453" s="12" t="s">
        <v>610</v>
      </c>
      <c r="C453" s="1" t="s">
        <v>166</v>
      </c>
      <c r="D453" s="13">
        <v>4937</v>
      </c>
    </row>
    <row r="454" spans="2:4" ht="30.6">
      <c r="B454" s="12" t="s">
        <v>611</v>
      </c>
      <c r="C454" s="1" t="s">
        <v>166</v>
      </c>
      <c r="D454" s="13">
        <v>830</v>
      </c>
    </row>
    <row r="455" spans="2:4" ht="20.45">
      <c r="B455" s="12" t="s">
        <v>612</v>
      </c>
      <c r="C455" s="1" t="s">
        <v>166</v>
      </c>
      <c r="D455" s="13">
        <v>97687</v>
      </c>
    </row>
    <row r="456" spans="2:4">
      <c r="B456" s="12" t="s">
        <v>613</v>
      </c>
      <c r="C456" s="1" t="s">
        <v>166</v>
      </c>
      <c r="D456" s="13">
        <v>26260</v>
      </c>
    </row>
    <row r="457" spans="2:4">
      <c r="B457" s="12" t="s">
        <v>614</v>
      </c>
      <c r="C457" s="1" t="s">
        <v>166</v>
      </c>
      <c r="D457" s="13">
        <v>73528</v>
      </c>
    </row>
    <row r="458" spans="2:4">
      <c r="B458" s="14" t="s">
        <v>615</v>
      </c>
      <c r="C458" s="2" t="s">
        <v>166</v>
      </c>
      <c r="D458" s="13">
        <v>9033</v>
      </c>
    </row>
    <row r="459" spans="2:4" ht="20.45">
      <c r="B459" s="14" t="s">
        <v>616</v>
      </c>
      <c r="C459" s="2" t="s">
        <v>166</v>
      </c>
      <c r="D459" s="13">
        <v>126048</v>
      </c>
    </row>
    <row r="460" spans="2:4">
      <c r="B460" s="12" t="s">
        <v>617</v>
      </c>
      <c r="C460" s="1" t="s">
        <v>166</v>
      </c>
      <c r="D460" s="13">
        <v>19958</v>
      </c>
    </row>
    <row r="461" spans="2:4">
      <c r="B461" s="12" t="s">
        <v>618</v>
      </c>
      <c r="C461" s="1" t="s">
        <v>21</v>
      </c>
      <c r="D461" s="13">
        <v>52520</v>
      </c>
    </row>
    <row r="462" spans="2:4">
      <c r="B462" s="12" t="s">
        <v>619</v>
      </c>
      <c r="C462" s="1" t="s">
        <v>166</v>
      </c>
      <c r="D462" s="13">
        <v>126048</v>
      </c>
    </row>
    <row r="463" spans="2:4">
      <c r="B463" s="12" t="s">
        <v>620</v>
      </c>
      <c r="C463" s="1" t="s">
        <v>166</v>
      </c>
      <c r="D463" s="13">
        <v>94536</v>
      </c>
    </row>
    <row r="464" spans="2:4">
      <c r="B464" s="12" t="s">
        <v>621</v>
      </c>
      <c r="C464" s="1" t="s">
        <v>166</v>
      </c>
      <c r="D464" s="13">
        <v>578770</v>
      </c>
    </row>
    <row r="465" spans="2:4">
      <c r="B465" s="12" t="s">
        <v>622</v>
      </c>
      <c r="C465" s="1" t="s">
        <v>166</v>
      </c>
      <c r="D465" s="13">
        <v>50419</v>
      </c>
    </row>
    <row r="466" spans="2:4" ht="20.45">
      <c r="B466" s="12" t="s">
        <v>623</v>
      </c>
      <c r="C466" s="1" t="s">
        <v>166</v>
      </c>
      <c r="D466" s="13">
        <v>2415920</v>
      </c>
    </row>
    <row r="467" spans="2:4">
      <c r="B467" s="12" t="s">
        <v>624</v>
      </c>
      <c r="C467" s="1" t="s">
        <v>48</v>
      </c>
      <c r="D467" s="13">
        <v>8592</v>
      </c>
    </row>
    <row r="468" spans="2:4" ht="30.6">
      <c r="B468" s="12" t="s">
        <v>625</v>
      </c>
      <c r="C468" s="1" t="s">
        <v>166</v>
      </c>
      <c r="D468" s="13">
        <v>1890720</v>
      </c>
    </row>
    <row r="469" spans="2:4">
      <c r="B469" s="12" t="s">
        <v>626</v>
      </c>
      <c r="C469" s="1" t="s">
        <v>166</v>
      </c>
      <c r="D469" s="13">
        <v>97687</v>
      </c>
    </row>
    <row r="470" spans="2:4" ht="20.45">
      <c r="B470" s="12" t="s">
        <v>627</v>
      </c>
      <c r="C470" s="1" t="s">
        <v>166</v>
      </c>
      <c r="D470" s="13">
        <v>12553</v>
      </c>
    </row>
    <row r="471" spans="2:4" ht="20.45">
      <c r="B471" s="12" t="s">
        <v>628</v>
      </c>
      <c r="C471" s="1" t="s">
        <v>21</v>
      </c>
      <c r="D471" s="13">
        <v>4727</v>
      </c>
    </row>
    <row r="472" spans="2:4">
      <c r="B472" s="12" t="s">
        <v>629</v>
      </c>
      <c r="C472" s="1" t="s">
        <v>166</v>
      </c>
      <c r="D472" s="13">
        <v>630240</v>
      </c>
    </row>
    <row r="473" spans="2:4">
      <c r="B473" s="12" t="s">
        <v>630</v>
      </c>
      <c r="C473" s="1" t="s">
        <v>166</v>
      </c>
      <c r="D473" s="13">
        <v>7280000</v>
      </c>
    </row>
    <row r="474" spans="2:4">
      <c r="B474" s="12" t="s">
        <v>631</v>
      </c>
      <c r="C474" s="1" t="s">
        <v>166</v>
      </c>
      <c r="D474" s="13">
        <v>157560</v>
      </c>
    </row>
    <row r="475" spans="2:4" ht="20.45">
      <c r="B475" s="12" t="s">
        <v>632</v>
      </c>
      <c r="C475" s="1" t="s">
        <v>166</v>
      </c>
      <c r="D475" s="13">
        <v>7354880</v>
      </c>
    </row>
    <row r="476" spans="2:4">
      <c r="B476" s="12" t="s">
        <v>633</v>
      </c>
      <c r="C476" s="1" t="s">
        <v>166</v>
      </c>
      <c r="D476" s="13">
        <v>147056</v>
      </c>
    </row>
    <row r="477" spans="2:4">
      <c r="B477" s="12" t="s">
        <v>634</v>
      </c>
      <c r="C477" s="1" t="s">
        <v>166</v>
      </c>
      <c r="D477" s="13">
        <v>30462</v>
      </c>
    </row>
    <row r="478" spans="2:4">
      <c r="B478" s="12" t="s">
        <v>635</v>
      </c>
      <c r="C478" s="1" t="s">
        <v>21</v>
      </c>
      <c r="D478" s="13">
        <v>6302</v>
      </c>
    </row>
    <row r="479" spans="2:4">
      <c r="B479" s="12" t="s">
        <v>636</v>
      </c>
      <c r="C479" s="1" t="s">
        <v>166</v>
      </c>
      <c r="D479" s="13">
        <v>472680</v>
      </c>
    </row>
    <row r="480" spans="2:4" ht="20.45">
      <c r="B480" s="12" t="s">
        <v>637</v>
      </c>
      <c r="C480" s="1" t="s">
        <v>23</v>
      </c>
      <c r="D480" s="13">
        <v>66595</v>
      </c>
    </row>
    <row r="481" spans="2:4" ht="20.45">
      <c r="B481" s="12" t="s">
        <v>638</v>
      </c>
      <c r="C481" s="1" t="s">
        <v>21</v>
      </c>
      <c r="D481" s="13">
        <v>30041</v>
      </c>
    </row>
    <row r="482" spans="2:4" ht="20.45">
      <c r="B482" s="12" t="s">
        <v>639</v>
      </c>
      <c r="C482" s="1" t="s">
        <v>166</v>
      </c>
      <c r="D482" s="13">
        <v>68276</v>
      </c>
    </row>
    <row r="483" spans="2:4">
      <c r="B483" s="12" t="s">
        <v>640</v>
      </c>
      <c r="C483" s="1" t="s">
        <v>166</v>
      </c>
      <c r="D483" s="13">
        <v>26260000</v>
      </c>
    </row>
    <row r="484" spans="2:4" ht="20.45">
      <c r="B484" s="12" t="s">
        <v>641</v>
      </c>
      <c r="C484" s="1" t="s">
        <v>166</v>
      </c>
      <c r="D484" s="13">
        <v>1838200</v>
      </c>
    </row>
    <row r="485" spans="2:4">
      <c r="B485" s="12" t="s">
        <v>642</v>
      </c>
      <c r="C485" s="1" t="s">
        <v>166</v>
      </c>
      <c r="D485" s="13">
        <v>756667</v>
      </c>
    </row>
    <row r="486" spans="2:4">
      <c r="B486" s="12" t="s">
        <v>643</v>
      </c>
      <c r="C486" s="1" t="s">
        <v>166</v>
      </c>
      <c r="D486" s="13">
        <v>588749</v>
      </c>
    </row>
    <row r="487" spans="2:4">
      <c r="B487" s="12" t="s">
        <v>644</v>
      </c>
      <c r="C487" s="1" t="s">
        <v>166</v>
      </c>
      <c r="D487" s="13">
        <v>694209</v>
      </c>
    </row>
    <row r="488" spans="2:4">
      <c r="B488" s="12" t="s">
        <v>645</v>
      </c>
      <c r="C488" s="1" t="s">
        <v>166</v>
      </c>
      <c r="D488" s="13">
        <v>315120</v>
      </c>
    </row>
    <row r="489" spans="2:4">
      <c r="B489" s="12" t="s">
        <v>646</v>
      </c>
      <c r="C489" s="1" t="s">
        <v>166</v>
      </c>
      <c r="D489" s="13">
        <v>18907</v>
      </c>
    </row>
    <row r="490" spans="2:4">
      <c r="B490" s="12" t="s">
        <v>647</v>
      </c>
      <c r="C490" s="1" t="s">
        <v>166</v>
      </c>
      <c r="D490" s="13">
        <v>220584</v>
      </c>
    </row>
    <row r="491" spans="2:4">
      <c r="B491" s="12" t="s">
        <v>648</v>
      </c>
      <c r="C491" s="1" t="s">
        <v>166</v>
      </c>
      <c r="D491" s="13">
        <v>63024</v>
      </c>
    </row>
    <row r="492" spans="2:4">
      <c r="B492" s="12" t="s">
        <v>649</v>
      </c>
      <c r="C492" s="1" t="s">
        <v>166</v>
      </c>
      <c r="D492" s="13">
        <v>315120</v>
      </c>
    </row>
    <row r="493" spans="2:4">
      <c r="B493" s="12" t="s">
        <v>650</v>
      </c>
      <c r="C493" s="1" t="s">
        <v>166</v>
      </c>
      <c r="D493" s="13">
        <v>189072</v>
      </c>
    </row>
    <row r="494" spans="2:4">
      <c r="B494" s="12" t="s">
        <v>651</v>
      </c>
      <c r="C494" s="1" t="s">
        <v>166</v>
      </c>
      <c r="D494" s="13">
        <v>231088</v>
      </c>
    </row>
    <row r="495" spans="2:4">
      <c r="B495" s="12" t="s">
        <v>652</v>
      </c>
      <c r="C495" s="1" t="s">
        <v>166</v>
      </c>
      <c r="D495" s="13">
        <v>28361</v>
      </c>
    </row>
    <row r="496" spans="2:4">
      <c r="B496" s="12" t="s">
        <v>653</v>
      </c>
      <c r="C496" s="1" t="s">
        <v>166</v>
      </c>
      <c r="D496" s="13">
        <v>84032</v>
      </c>
    </row>
    <row r="497" spans="2:4">
      <c r="B497" s="12" t="s">
        <v>654</v>
      </c>
      <c r="C497" s="1" t="s">
        <v>166</v>
      </c>
      <c r="D497" s="13">
        <v>75629</v>
      </c>
    </row>
    <row r="498" spans="2:4">
      <c r="B498" s="12" t="s">
        <v>655</v>
      </c>
      <c r="C498" s="1" t="s">
        <v>29</v>
      </c>
      <c r="D498" s="13">
        <v>57772</v>
      </c>
    </row>
    <row r="499" spans="2:4" ht="20.45">
      <c r="B499" s="12" t="s">
        <v>656</v>
      </c>
      <c r="C499" s="1" t="s">
        <v>23</v>
      </c>
      <c r="D499" s="13">
        <v>3758</v>
      </c>
    </row>
    <row r="500" spans="2:4">
      <c r="B500" s="12" t="s">
        <v>657</v>
      </c>
      <c r="C500" s="1" t="s">
        <v>21</v>
      </c>
      <c r="D500" s="13">
        <v>34663</v>
      </c>
    </row>
    <row r="501" spans="2:4">
      <c r="B501" s="12" t="s">
        <v>658</v>
      </c>
      <c r="C501" s="1" t="s">
        <v>166</v>
      </c>
      <c r="D501" s="13">
        <v>89284</v>
      </c>
    </row>
    <row r="502" spans="2:4">
      <c r="B502" s="12" t="s">
        <v>659</v>
      </c>
      <c r="C502" s="1" t="s">
        <v>166</v>
      </c>
      <c r="D502" s="13">
        <v>22058</v>
      </c>
    </row>
    <row r="503" spans="2:4">
      <c r="B503" s="12" t="s">
        <v>660</v>
      </c>
      <c r="C503" s="1" t="s">
        <v>166</v>
      </c>
      <c r="D503" s="13">
        <v>149787</v>
      </c>
    </row>
    <row r="504" spans="2:4">
      <c r="B504" s="12" t="s">
        <v>661</v>
      </c>
      <c r="C504" s="1" t="s">
        <v>166</v>
      </c>
      <c r="D504" s="13">
        <v>183820</v>
      </c>
    </row>
    <row r="505" spans="2:4">
      <c r="B505" s="12" t="s">
        <v>662</v>
      </c>
      <c r="C505" s="1" t="s">
        <v>166</v>
      </c>
      <c r="D505" s="13">
        <v>26260</v>
      </c>
    </row>
    <row r="506" spans="2:4" ht="20.45">
      <c r="B506" s="12" t="s">
        <v>663</v>
      </c>
      <c r="C506" s="1" t="s">
        <v>166</v>
      </c>
      <c r="D506" s="13">
        <v>336128</v>
      </c>
    </row>
    <row r="507" spans="2:4" ht="20.45">
      <c r="B507" s="12" t="s">
        <v>664</v>
      </c>
      <c r="C507" s="1" t="s">
        <v>166</v>
      </c>
      <c r="D507" s="13">
        <v>2626</v>
      </c>
    </row>
    <row r="508" spans="2:4">
      <c r="B508" s="12" t="s">
        <v>665</v>
      </c>
      <c r="C508" s="1" t="s">
        <v>23</v>
      </c>
      <c r="D508" s="13">
        <v>15756</v>
      </c>
    </row>
    <row r="509" spans="2:4">
      <c r="B509" s="12" t="s">
        <v>666</v>
      </c>
      <c r="C509" s="1" t="s">
        <v>166</v>
      </c>
      <c r="D509" s="13">
        <v>1576</v>
      </c>
    </row>
    <row r="510" spans="2:4">
      <c r="B510" s="12" t="s">
        <v>667</v>
      </c>
      <c r="C510" s="1" t="s">
        <v>166</v>
      </c>
      <c r="D510" s="13">
        <v>56585</v>
      </c>
    </row>
    <row r="511" spans="2:4">
      <c r="B511" s="12" t="s">
        <v>668</v>
      </c>
      <c r="C511" s="1" t="s">
        <v>166</v>
      </c>
      <c r="D511" s="13">
        <v>182255</v>
      </c>
    </row>
    <row r="512" spans="2:4">
      <c r="B512" s="12" t="s">
        <v>669</v>
      </c>
      <c r="C512" s="1" t="s">
        <v>29</v>
      </c>
      <c r="D512" s="13">
        <v>477100</v>
      </c>
    </row>
    <row r="513" spans="2:4" ht="31.15" thickBot="1">
      <c r="B513" s="15" t="s">
        <v>670</v>
      </c>
      <c r="C513" s="6" t="s">
        <v>166</v>
      </c>
      <c r="D513" s="16">
        <v>180249</v>
      </c>
    </row>
  </sheetData>
  <mergeCells count="1">
    <mergeCell ref="B2:D3"/>
  </mergeCells>
  <phoneticPr fontId="8" type="noConversion"/>
  <conditionalFormatting sqref="B5:B229 B232:B513">
    <cfRule type="duplicateValues" dxfId="3" priority="5"/>
    <cfRule type="duplicateValues" dxfId="2" priority="6"/>
  </conditionalFormatting>
  <conditionalFormatting sqref="B230:B23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6A55-8A0B-45F7-9835-AAEF80CEF255}">
  <dimension ref="B1:G11"/>
  <sheetViews>
    <sheetView workbookViewId="0">
      <selection activeCell="D4" sqref="D4:D11"/>
    </sheetView>
  </sheetViews>
  <sheetFormatPr defaultColWidth="11.42578125" defaultRowHeight="14.45"/>
  <cols>
    <col min="2" max="2" width="53.7109375" bestFit="1" customWidth="1"/>
    <col min="4" max="4" width="20.42578125" customWidth="1"/>
    <col min="6" max="6" width="12.85546875" bestFit="1" customWidth="1"/>
  </cols>
  <sheetData>
    <row r="1" spans="2:7" ht="15" thickBot="1"/>
    <row r="2" spans="2:7" ht="15" thickBot="1">
      <c r="B2" s="184" t="s">
        <v>671</v>
      </c>
      <c r="C2" s="185"/>
      <c r="D2" s="186"/>
    </row>
    <row r="3" spans="2:7">
      <c r="B3" s="9" t="s">
        <v>162</v>
      </c>
      <c r="C3" s="3" t="s">
        <v>163</v>
      </c>
      <c r="D3" s="4" t="s">
        <v>164</v>
      </c>
    </row>
    <row r="4" spans="2:7">
      <c r="B4" s="10" t="s">
        <v>121</v>
      </c>
      <c r="C4" s="1" t="s">
        <v>100</v>
      </c>
      <c r="D4" s="5">
        <v>640000</v>
      </c>
      <c r="F4" s="82"/>
    </row>
    <row r="5" spans="2:7">
      <c r="B5" s="10" t="s">
        <v>110</v>
      </c>
      <c r="C5" s="1" t="s">
        <v>672</v>
      </c>
      <c r="D5" s="5">
        <v>1320000</v>
      </c>
      <c r="F5" s="82"/>
    </row>
    <row r="6" spans="2:7">
      <c r="B6" s="10" t="s">
        <v>673</v>
      </c>
      <c r="C6" s="1" t="s">
        <v>100</v>
      </c>
      <c r="D6" s="5">
        <v>5200</v>
      </c>
      <c r="F6" s="82"/>
      <c r="G6" s="8"/>
    </row>
    <row r="7" spans="2:7">
      <c r="B7" s="10" t="s">
        <v>674</v>
      </c>
      <c r="C7" s="1" t="s">
        <v>323</v>
      </c>
      <c r="D7" s="5">
        <v>1000</v>
      </c>
      <c r="F7" s="82"/>
    </row>
    <row r="8" spans="2:7">
      <c r="B8" s="10" t="s">
        <v>675</v>
      </c>
      <c r="C8" s="1" t="s">
        <v>100</v>
      </c>
      <c r="D8" s="5">
        <v>360000</v>
      </c>
      <c r="F8" s="82"/>
    </row>
    <row r="9" spans="2:7">
      <c r="B9" s="10" t="s">
        <v>676</v>
      </c>
      <c r="C9" s="1" t="s">
        <v>100</v>
      </c>
      <c r="D9" s="5">
        <v>760000</v>
      </c>
      <c r="F9" s="82"/>
    </row>
    <row r="10" spans="2:7">
      <c r="B10" s="10" t="s">
        <v>677</v>
      </c>
      <c r="C10" s="1" t="s">
        <v>678</v>
      </c>
      <c r="D10" s="5">
        <v>33000</v>
      </c>
      <c r="F10" s="82"/>
    </row>
    <row r="11" spans="2:7" ht="15" thickBot="1">
      <c r="B11" s="11" t="s">
        <v>679</v>
      </c>
      <c r="C11" s="6" t="s">
        <v>100</v>
      </c>
      <c r="D11" s="7">
        <v>304000</v>
      </c>
      <c r="F11" s="82"/>
    </row>
  </sheetData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6836-0912-40F5-BECA-480BFC393413}">
  <dimension ref="B2:D5"/>
  <sheetViews>
    <sheetView zoomScale="110" zoomScaleNormal="110" workbookViewId="0">
      <selection activeCell="C5" sqref="C5"/>
    </sheetView>
  </sheetViews>
  <sheetFormatPr defaultColWidth="11.42578125" defaultRowHeight="14.45"/>
  <cols>
    <col min="2" max="2" width="24.85546875" bestFit="1" customWidth="1"/>
  </cols>
  <sheetData>
    <row r="2" spans="2:4" ht="15" thickBot="1"/>
    <row r="3" spans="2:4" ht="15" thickBot="1">
      <c r="B3" s="184" t="s">
        <v>680</v>
      </c>
      <c r="C3" s="185"/>
      <c r="D3" s="186"/>
    </row>
    <row r="4" spans="2:4">
      <c r="B4" s="23" t="s">
        <v>162</v>
      </c>
      <c r="C4" s="18" t="s">
        <v>163</v>
      </c>
      <c r="D4" s="24" t="s">
        <v>164</v>
      </c>
    </row>
    <row r="5" spans="2:4" ht="15" thickBot="1">
      <c r="B5" s="11" t="s">
        <v>681</v>
      </c>
      <c r="C5" s="6" t="s">
        <v>682</v>
      </c>
      <c r="D5" s="22">
        <v>120000</v>
      </c>
    </row>
  </sheetData>
  <mergeCells count="1">
    <mergeCell ref="B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9DBD-19DE-4523-8E01-9F32EF407DC2}">
  <dimension ref="B1:G6"/>
  <sheetViews>
    <sheetView zoomScale="120" zoomScaleNormal="120" workbookViewId="0">
      <selection activeCell="J17" sqref="J17"/>
    </sheetView>
  </sheetViews>
  <sheetFormatPr defaultColWidth="11.42578125" defaultRowHeight="14.45"/>
  <cols>
    <col min="2" max="2" width="17.42578125" bestFit="1" customWidth="1"/>
  </cols>
  <sheetData>
    <row r="1" spans="2:7" ht="15" thickBot="1"/>
    <row r="2" spans="2:7">
      <c r="B2" s="187" t="s">
        <v>683</v>
      </c>
      <c r="C2" s="188"/>
      <c r="D2" s="188"/>
      <c r="E2" s="188"/>
      <c r="F2" s="188"/>
      <c r="G2" s="189"/>
    </row>
    <row r="3" spans="2:7">
      <c r="B3" s="23" t="s">
        <v>162</v>
      </c>
      <c r="C3" s="18" t="s">
        <v>163</v>
      </c>
      <c r="D3" s="18" t="s">
        <v>164</v>
      </c>
      <c r="E3" s="89" t="s">
        <v>684</v>
      </c>
      <c r="F3" s="90" t="s">
        <v>685</v>
      </c>
      <c r="G3" s="91" t="s">
        <v>686</v>
      </c>
    </row>
    <row r="4" spans="2:7">
      <c r="B4" s="49" t="s">
        <v>99</v>
      </c>
      <c r="C4" s="1" t="s">
        <v>678</v>
      </c>
      <c r="D4" s="50">
        <v>68945.399999999994</v>
      </c>
      <c r="E4" s="50">
        <f>D4*12.5%</f>
        <v>8618.1749999999993</v>
      </c>
      <c r="F4" s="87">
        <f>D4+E4</f>
        <v>77563.574999999997</v>
      </c>
      <c r="G4" s="51">
        <f>F4/8</f>
        <v>9695.4468749999996</v>
      </c>
    </row>
    <row r="5" spans="2:7">
      <c r="B5" s="49" t="s">
        <v>687</v>
      </c>
      <c r="C5" s="1" t="s">
        <v>100</v>
      </c>
      <c r="D5" s="50">
        <v>85032.66</v>
      </c>
      <c r="E5" s="50">
        <f t="shared" ref="E5:E6" si="0">D5*12.5%</f>
        <v>10629.0825</v>
      </c>
      <c r="F5" s="87">
        <f>D5+E5</f>
        <v>95661.742500000008</v>
      </c>
      <c r="G5" s="51">
        <f t="shared" ref="G5:G6" si="1">F5/8</f>
        <v>11957.717812500001</v>
      </c>
    </row>
    <row r="6" spans="2:7" ht="15" thickBot="1">
      <c r="B6" s="52" t="s">
        <v>114</v>
      </c>
      <c r="C6" s="6" t="s">
        <v>678</v>
      </c>
      <c r="D6" s="53">
        <v>160872.59999999974</v>
      </c>
      <c r="E6" s="53">
        <f t="shared" si="0"/>
        <v>20109.074999999968</v>
      </c>
      <c r="F6" s="88">
        <f t="shared" ref="F6" si="2">D6+E6</f>
        <v>180981.6749999997</v>
      </c>
      <c r="G6" s="54">
        <f t="shared" si="1"/>
        <v>22622.709374999962</v>
      </c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b7d517-b7ff-4a9d-b8f8-62679ec58c48">
      <Terms xmlns="http://schemas.microsoft.com/office/infopath/2007/PartnerControls"/>
    </lcf76f155ced4ddcb4097134ff3c332f>
    <TaxCatchAll xmlns="1e0d1f57-56cc-40f8-8178-06898f773b6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CD8554845E2A44B5AE42E2A5C41DAC" ma:contentTypeVersion="10" ma:contentTypeDescription="Crear nuevo documento." ma:contentTypeScope="" ma:versionID="50d189a064591453bd7c7211443165a7">
  <xsd:schema xmlns:xsd="http://www.w3.org/2001/XMLSchema" xmlns:xs="http://www.w3.org/2001/XMLSchema" xmlns:p="http://schemas.microsoft.com/office/2006/metadata/properties" xmlns:ns2="98b7d517-b7ff-4a9d-b8f8-62679ec58c48" xmlns:ns3="1e0d1f57-56cc-40f8-8178-06898f773b6e" targetNamespace="http://schemas.microsoft.com/office/2006/metadata/properties" ma:root="true" ma:fieldsID="32c9865eb79d63c5c434fe118473414e" ns2:_="" ns3:_="">
    <xsd:import namespace="98b7d517-b7ff-4a9d-b8f8-62679ec58c48"/>
    <xsd:import namespace="1e0d1f57-56cc-40f8-8178-06898f773b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7d517-b7ff-4a9d-b8f8-62679ec58c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6db0523-8dfe-4deb-9afd-815207f368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0d1f57-56cc-40f8-8178-06898f773b6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02fe17c-3e82-46ae-979b-e0d50ac54ebe}" ma:internalName="TaxCatchAll" ma:showField="CatchAllData" ma:web="1e0d1f57-56cc-40f8-8178-06898f773b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9E8C33-5DB5-47B3-8221-C7E6BDC838F7}"/>
</file>

<file path=customXml/itemProps2.xml><?xml version="1.0" encoding="utf-8"?>
<ds:datastoreItem xmlns:ds="http://schemas.openxmlformats.org/officeDocument/2006/customXml" ds:itemID="{F95FABD7-281C-474A-BE5B-032DAA4A0066}"/>
</file>

<file path=customXml/itemProps3.xml><?xml version="1.0" encoding="utf-8"?>
<ds:datastoreItem xmlns:ds="http://schemas.openxmlformats.org/officeDocument/2006/customXml" ds:itemID="{43DD228A-98E3-49BF-86CD-607332E242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Camilo Pacheco Pacheco</dc:creator>
  <cp:keywords/>
  <dc:description/>
  <cp:lastModifiedBy>DIAZ GUTIERREZ GERARDO</cp:lastModifiedBy>
  <cp:revision/>
  <dcterms:created xsi:type="dcterms:W3CDTF">2022-08-08T13:49:11Z</dcterms:created>
  <dcterms:modified xsi:type="dcterms:W3CDTF">2026-05-11T16:13:50Z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0x010100FECD8554845E2A44B5AE42E2A5C41DAC</vt:lpwstr>
  </property>
  <property fmtid="{D5CDD505-2E9C-101B-9397-08002B2CF9AE}" pid="3" name="MediaServiceImageTags">
    <vt:lpwstr/>
  </property>
</Properties>
</file>